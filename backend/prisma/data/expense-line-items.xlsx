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29A00B9A-B4F0-4C4F-887A-D2B7A65EB224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Sheet1" sheetId="1" r:id="rId1"/>
    <sheet name="Sheet3" sheetId="3" r:id="rId2"/>
    <sheet name="Sheet2" sheetId="2" state="hidden" r:id="rId3"/>
  </sheets>
  <definedNames>
    <definedName name="_xlnm._FilterDatabase" localSheetId="0" hidden="1">Sheet1!$A$2:$P$336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20" i="1" l="1"/>
  <c r="C321" i="1" s="1"/>
  <c r="C318" i="1"/>
  <c r="C306" i="1"/>
  <c r="C307" i="1" s="1"/>
  <c r="C308" i="1" s="1"/>
  <c r="C294" i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77" i="1"/>
  <c r="C78" i="1" s="1"/>
  <c r="C43" i="1"/>
  <c r="C37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D320" i="1" s="1"/>
  <c r="A319" i="1"/>
  <c r="D319" i="1" s="1"/>
  <c r="A308" i="1"/>
  <c r="A307" i="1"/>
  <c r="A306" i="1"/>
  <c r="D306" i="1" s="1"/>
  <c r="A305" i="1"/>
  <c r="D305" i="1" s="1"/>
  <c r="A41" i="1"/>
  <c r="A40" i="1"/>
  <c r="A39" i="1"/>
  <c r="A38" i="1"/>
  <c r="A37" i="1"/>
  <c r="D37" i="1" s="1"/>
  <c r="A36" i="1"/>
  <c r="D36" i="1" s="1"/>
  <c r="A316" i="1"/>
  <c r="A315" i="1"/>
  <c r="A314" i="1"/>
  <c r="A313" i="1"/>
  <c r="A318" i="1"/>
  <c r="D318" i="1" s="1"/>
  <c r="A317" i="1"/>
  <c r="D317" i="1" s="1"/>
  <c r="A312" i="1"/>
  <c r="A311" i="1"/>
  <c r="A75" i="1"/>
  <c r="A74" i="1"/>
  <c r="A73" i="1"/>
  <c r="A72" i="1"/>
  <c r="A71" i="1"/>
  <c r="A70" i="1"/>
  <c r="A310" i="1"/>
  <c r="A309" i="1"/>
  <c r="D309" i="1" s="1"/>
  <c r="A14" i="1"/>
  <c r="A69" i="1"/>
  <c r="A68" i="1"/>
  <c r="A67" i="1"/>
  <c r="D67" i="1" s="1"/>
  <c r="A304" i="1"/>
  <c r="A303" i="1"/>
  <c r="A302" i="1"/>
  <c r="A301" i="1"/>
  <c r="A300" i="1"/>
  <c r="A299" i="1"/>
  <c r="A298" i="1"/>
  <c r="A297" i="1"/>
  <c r="A296" i="1"/>
  <c r="A295" i="1"/>
  <c r="A294" i="1"/>
  <c r="D294" i="1" s="1"/>
  <c r="A293" i="1"/>
  <c r="D293" i="1" s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D228" i="1" s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5" i="1"/>
  <c r="A144" i="1"/>
  <c r="A143" i="1"/>
  <c r="A142" i="1"/>
  <c r="A141" i="1"/>
  <c r="A140" i="1"/>
  <c r="A147" i="1"/>
  <c r="A146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D83" i="1" s="1"/>
  <c r="A82" i="1"/>
  <c r="A81" i="1"/>
  <c r="A80" i="1"/>
  <c r="A79" i="1"/>
  <c r="A78" i="1"/>
  <c r="A77" i="1"/>
  <c r="A76" i="1"/>
  <c r="D76" i="1" s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D42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36" i="1"/>
  <c r="A3" i="1"/>
  <c r="D3" i="1" s="1"/>
  <c r="D321" i="1" l="1"/>
  <c r="C322" i="1"/>
  <c r="D307" i="1"/>
  <c r="D295" i="1"/>
  <c r="D78" i="1"/>
  <c r="D77" i="1"/>
  <c r="D43" i="1"/>
  <c r="C323" i="1" l="1"/>
  <c r="D322" i="1"/>
  <c r="C324" i="1"/>
  <c r="D323" i="1"/>
  <c r="C325" i="1" l="1"/>
  <c r="D324" i="1"/>
  <c r="C326" i="1" l="1"/>
  <c r="D325" i="1"/>
  <c r="C327" i="1" l="1"/>
  <c r="D326" i="1"/>
  <c r="C328" i="1" l="1"/>
  <c r="D327" i="1"/>
  <c r="C329" i="1" l="1"/>
  <c r="D328" i="1"/>
  <c r="C330" i="1" l="1"/>
  <c r="D329" i="1"/>
  <c r="C331" i="1" l="1"/>
  <c r="D330" i="1"/>
  <c r="C332" i="1" l="1"/>
  <c r="D331" i="1"/>
  <c r="C333" i="1" l="1"/>
  <c r="D332" i="1"/>
  <c r="C334" i="1" l="1"/>
  <c r="D333" i="1"/>
  <c r="C335" i="1" l="1"/>
  <c r="D334" i="1"/>
  <c r="C336" i="1" l="1"/>
  <c r="D336" i="1" s="1"/>
  <c r="D335" i="1"/>
  <c r="C84" i="1" l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D84" i="1" l="1"/>
  <c r="D296" i="1" l="1"/>
  <c r="D297" i="1" l="1"/>
  <c r="D298" i="1" l="1"/>
  <c r="D299" i="1" l="1"/>
  <c r="D300" i="1" l="1"/>
  <c r="C310" i="1" l="1"/>
  <c r="D310" i="1" s="1"/>
  <c r="C68" i="1"/>
  <c r="C79" i="1"/>
  <c r="D79" i="1" s="1"/>
  <c r="C69" i="1" l="1"/>
  <c r="D69" i="1" s="1"/>
  <c r="D68" i="1"/>
  <c r="D85" i="1"/>
  <c r="D86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l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D14" i="1"/>
  <c r="D4" i="1"/>
  <c r="D5" i="1" l="1"/>
  <c r="D6" i="1" l="1"/>
  <c r="D7" i="1"/>
  <c r="D87" i="1" l="1"/>
  <c r="D88" i="1" l="1"/>
  <c r="D89" i="1" l="1"/>
  <c r="D90" i="1" l="1"/>
  <c r="C38" i="1" l="1"/>
  <c r="C39" i="1" l="1"/>
  <c r="D38" i="1"/>
  <c r="C40" i="1" l="1"/>
  <c r="D40" i="1" s="1"/>
  <c r="D39" i="1"/>
  <c r="C229" i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D229" i="1" l="1"/>
  <c r="D230" i="1" l="1"/>
  <c r="D231" i="1" l="1"/>
  <c r="D232" i="1" l="1"/>
  <c r="D233" i="1" l="1"/>
  <c r="D91" i="1" l="1"/>
  <c r="D8" i="1" l="1"/>
  <c r="D9" i="1" l="1"/>
  <c r="D11" i="1" l="1"/>
  <c r="D10" i="1" l="1"/>
  <c r="D301" i="1" l="1"/>
  <c r="D92" i="1"/>
  <c r="C311" i="1" l="1"/>
  <c r="D93" i="1"/>
  <c r="C312" i="1" l="1"/>
  <c r="D311" i="1"/>
  <c r="D312" i="1" l="1"/>
  <c r="D94" i="1" l="1"/>
  <c r="D95" i="1" l="1"/>
  <c r="C41" i="1" l="1"/>
  <c r="D41" i="1" l="1"/>
  <c r="D96" i="1" l="1"/>
  <c r="D13" i="1" l="1"/>
  <c r="D12" i="1" l="1"/>
  <c r="D97" i="1" l="1"/>
  <c r="C313" i="1" l="1"/>
  <c r="C314" i="1" l="1"/>
  <c r="D313" i="1"/>
  <c r="C315" i="1" l="1"/>
  <c r="D314" i="1"/>
  <c r="C316" i="1" l="1"/>
  <c r="D315" i="1"/>
  <c r="C80" i="1" l="1"/>
  <c r="D316" i="1"/>
  <c r="D80" i="1" l="1"/>
  <c r="C81" i="1"/>
  <c r="D98" i="1"/>
  <c r="C82" i="1" l="1"/>
  <c r="D82" i="1" s="1"/>
  <c r="D81" i="1"/>
  <c r="D99" i="1"/>
  <c r="D308" i="1" l="1"/>
  <c r="D234" i="1" l="1"/>
  <c r="D100" i="1"/>
  <c r="D235" i="1" l="1"/>
  <c r="C44" i="1"/>
  <c r="D236" i="1" l="1"/>
  <c r="D44" i="1"/>
  <c r="D101" i="1"/>
  <c r="D237" i="1" l="1"/>
  <c r="D102" i="1"/>
  <c r="D103" i="1"/>
  <c r="D238" i="1" l="1"/>
  <c r="D239" i="1" l="1"/>
  <c r="D241" i="1" l="1"/>
  <c r="D240" i="1"/>
  <c r="D242" i="1" l="1"/>
  <c r="D243" i="1" l="1"/>
  <c r="D244" i="1" l="1"/>
  <c r="D245" i="1" l="1"/>
  <c r="D246" i="1" l="1"/>
  <c r="D247" i="1" l="1"/>
  <c r="D248" i="1" l="1"/>
  <c r="D249" i="1" l="1"/>
  <c r="D250" i="1" l="1"/>
  <c r="D251" i="1" l="1"/>
  <c r="D252" i="1" l="1"/>
  <c r="D253" i="1" l="1"/>
  <c r="C70" i="1"/>
  <c r="D254" i="1" l="1"/>
  <c r="C71" i="1"/>
  <c r="D70" i="1"/>
  <c r="D255" i="1" l="1"/>
  <c r="C72" i="1"/>
  <c r="D71" i="1"/>
  <c r="D256" i="1" l="1"/>
  <c r="C73" i="1"/>
  <c r="D72" i="1"/>
  <c r="D257" i="1" l="1"/>
  <c r="D73" i="1"/>
  <c r="C74" i="1"/>
  <c r="D258" i="1" l="1"/>
  <c r="D74" i="1"/>
  <c r="C75" i="1"/>
  <c r="D75" i="1" s="1"/>
  <c r="D259" i="1" l="1"/>
  <c r="D260" i="1" l="1"/>
  <c r="D261" i="1" l="1"/>
  <c r="D262" i="1" l="1"/>
  <c r="D263" i="1" l="1"/>
  <c r="D264" i="1" l="1"/>
  <c r="D265" i="1" l="1"/>
  <c r="D266" i="1" l="1"/>
  <c r="D267" i="1" l="1"/>
  <c r="D268" i="1" l="1"/>
  <c r="D269" i="1" l="1"/>
  <c r="D270" i="1" l="1"/>
  <c r="D271" i="1" l="1"/>
  <c r="D272" i="1" l="1"/>
  <c r="D273" i="1" l="1"/>
  <c r="D274" i="1" l="1"/>
  <c r="D275" i="1" l="1"/>
  <c r="D276" i="1" l="1"/>
  <c r="D277" i="1" l="1"/>
  <c r="D278" i="1" l="1"/>
  <c r="D279" i="1" l="1"/>
  <c r="D280" i="1" l="1"/>
  <c r="D281" i="1" l="1"/>
  <c r="D282" i="1" l="1"/>
  <c r="D283" i="1" l="1"/>
  <c r="D284" i="1" l="1"/>
  <c r="D285" i="1" l="1"/>
  <c r="D286" i="1" l="1"/>
  <c r="D287" i="1" l="1"/>
  <c r="D288" i="1" l="1"/>
  <c r="D289" i="1" l="1"/>
  <c r="D290" i="1" l="1"/>
  <c r="D292" i="1" l="1"/>
  <c r="D291" i="1"/>
  <c r="D105" i="1"/>
  <c r="D104" i="1"/>
  <c r="C45" i="1"/>
  <c r="D15" i="1"/>
  <c r="C46" i="1" l="1"/>
  <c r="D45" i="1"/>
  <c r="D302" i="1"/>
  <c r="D303" i="1"/>
  <c r="D304" i="1"/>
  <c r="D106" i="1"/>
  <c r="D16" i="1"/>
  <c r="C47" i="1" l="1"/>
  <c r="D46" i="1"/>
  <c r="D107" i="1"/>
  <c r="D17" i="1"/>
  <c r="C48" i="1" l="1"/>
  <c r="D47" i="1"/>
  <c r="D108" i="1"/>
  <c r="D48" i="1"/>
  <c r="C49" i="1"/>
  <c r="D18" i="1"/>
  <c r="D109" i="1" l="1"/>
  <c r="D49" i="1"/>
  <c r="C50" i="1"/>
  <c r="D19" i="1"/>
  <c r="D110" i="1" l="1"/>
  <c r="D50" i="1"/>
  <c r="C51" i="1"/>
  <c r="D20" i="1"/>
  <c r="D111" i="1" l="1"/>
  <c r="C52" i="1"/>
  <c r="D51" i="1"/>
  <c r="D21" i="1"/>
  <c r="D112" i="1" l="1"/>
  <c r="C53" i="1"/>
  <c r="D52" i="1"/>
  <c r="D22" i="1"/>
  <c r="D113" i="1" l="1"/>
  <c r="C54" i="1"/>
  <c r="D53" i="1"/>
  <c r="D23" i="1"/>
  <c r="D114" i="1" l="1"/>
  <c r="D54" i="1"/>
  <c r="C55" i="1"/>
  <c r="D24" i="1"/>
  <c r="D115" i="1" l="1"/>
  <c r="C56" i="1"/>
  <c r="D55" i="1"/>
  <c r="D25" i="1"/>
  <c r="D116" i="1" l="1"/>
  <c r="D56" i="1"/>
  <c r="C57" i="1"/>
  <c r="D26" i="1"/>
  <c r="D117" i="1" l="1"/>
  <c r="C58" i="1"/>
  <c r="D57" i="1"/>
  <c r="D27" i="1"/>
  <c r="D118" i="1" l="1"/>
  <c r="C59" i="1"/>
  <c r="D58" i="1"/>
  <c r="D28" i="1"/>
  <c r="D119" i="1" l="1"/>
  <c r="C60" i="1"/>
  <c r="D59" i="1"/>
  <c r="D29" i="1"/>
  <c r="D120" i="1" l="1"/>
  <c r="D60" i="1"/>
  <c r="C61" i="1"/>
  <c r="D30" i="1"/>
  <c r="D121" i="1" l="1"/>
  <c r="D61" i="1"/>
  <c r="C62" i="1"/>
  <c r="D31" i="1"/>
  <c r="D122" i="1" l="1"/>
  <c r="C63" i="1"/>
  <c r="D62" i="1"/>
  <c r="D32" i="1"/>
  <c r="D123" i="1" l="1"/>
  <c r="D63" i="1"/>
  <c r="C64" i="1"/>
  <c r="D33" i="1"/>
  <c r="D124" i="1" l="1"/>
  <c r="D64" i="1"/>
  <c r="C65" i="1"/>
  <c r="D35" i="1"/>
  <c r="D34" i="1"/>
  <c r="D125" i="1" l="1"/>
  <c r="C66" i="1"/>
  <c r="D66" i="1" s="1"/>
  <c r="D65" i="1"/>
  <c r="D126" i="1" l="1"/>
  <c r="D127" i="1" l="1"/>
  <c r="D128" i="1" l="1"/>
  <c r="D129" i="1" l="1"/>
  <c r="D130" i="1" l="1"/>
  <c r="D131" i="1" l="1"/>
  <c r="D132" i="1" l="1"/>
  <c r="D133" i="1" l="1"/>
  <c r="D134" i="1" l="1"/>
  <c r="D135" i="1" l="1"/>
  <c r="D136" i="1" l="1"/>
  <c r="D137" i="1" l="1"/>
  <c r="D138" i="1" l="1"/>
  <c r="D139" i="1" l="1"/>
  <c r="D140" i="1" l="1"/>
  <c r="D141" i="1" l="1"/>
  <c r="D142" i="1" l="1"/>
  <c r="D143" i="1" l="1"/>
  <c r="D144" i="1" l="1"/>
  <c r="D145" i="1" l="1"/>
  <c r="D146" i="1" l="1"/>
  <c r="D147" i="1" l="1"/>
  <c r="D148" i="1" l="1"/>
  <c r="D149" i="1" l="1"/>
  <c r="D150" i="1" l="1"/>
  <c r="D151" i="1" l="1"/>
  <c r="D152" i="1" l="1"/>
  <c r="D153" i="1" l="1"/>
  <c r="D154" i="1" l="1"/>
  <c r="D155" i="1" l="1"/>
  <c r="D156" i="1" l="1"/>
  <c r="D157" i="1" l="1"/>
  <c r="D158" i="1" l="1"/>
  <c r="D159" i="1" l="1"/>
  <c r="D160" i="1" l="1"/>
  <c r="D161" i="1" l="1"/>
  <c r="D162" i="1" l="1"/>
  <c r="D163" i="1" l="1"/>
  <c r="D164" i="1" l="1"/>
  <c r="D165" i="1" l="1"/>
  <c r="D166" i="1" l="1"/>
  <c r="D167" i="1" l="1"/>
  <c r="D168" i="1" l="1"/>
  <c r="D169" i="1" l="1"/>
  <c r="D170" i="1" l="1"/>
  <c r="D171" i="1" l="1"/>
  <c r="D172" i="1" l="1"/>
  <c r="D173" i="1" l="1"/>
  <c r="D174" i="1" l="1"/>
  <c r="D175" i="1" l="1"/>
  <c r="D176" i="1" l="1"/>
  <c r="D177" i="1" l="1"/>
  <c r="D178" i="1" l="1"/>
  <c r="D179" i="1" l="1"/>
  <c r="D180" i="1" l="1"/>
  <c r="D181" i="1" l="1"/>
  <c r="D182" i="1" l="1"/>
  <c r="D183" i="1" l="1"/>
  <c r="D184" i="1" l="1"/>
  <c r="D185" i="1" l="1"/>
  <c r="D186" i="1" l="1"/>
  <c r="D187" i="1" l="1"/>
  <c r="D188" i="1" l="1"/>
  <c r="D189" i="1" l="1"/>
  <c r="D190" i="1" l="1"/>
  <c r="D191" i="1" l="1"/>
  <c r="D192" i="1" l="1"/>
  <c r="D193" i="1" l="1"/>
  <c r="D194" i="1" l="1"/>
  <c r="D195" i="1" l="1"/>
  <c r="D196" i="1" l="1"/>
  <c r="D197" i="1" l="1"/>
  <c r="D198" i="1" l="1"/>
  <c r="D199" i="1" l="1"/>
  <c r="D200" i="1" l="1"/>
  <c r="D201" i="1" l="1"/>
  <c r="D202" i="1" l="1"/>
  <c r="D203" i="1" l="1"/>
  <c r="D204" i="1" l="1"/>
  <c r="D205" i="1" l="1"/>
  <c r="D206" i="1" l="1"/>
  <c r="D207" i="1" l="1"/>
  <c r="D208" i="1" l="1"/>
  <c r="D209" i="1" l="1"/>
  <c r="D210" i="1" l="1"/>
  <c r="D211" i="1" l="1"/>
  <c r="D212" i="1" l="1"/>
  <c r="D213" i="1" l="1"/>
  <c r="D214" i="1" l="1"/>
  <c r="D215" i="1" l="1"/>
  <c r="D216" i="1" l="1"/>
  <c r="D217" i="1" l="1"/>
  <c r="D218" i="1" l="1"/>
  <c r="D219" i="1" l="1"/>
  <c r="D220" i="1" l="1"/>
  <c r="D221" i="1" l="1"/>
  <c r="D222" i="1" l="1"/>
  <c r="D223" i="1" l="1"/>
  <c r="D224" i="1" l="1"/>
  <c r="D225" i="1" l="1"/>
  <c r="D226" i="1" l="1"/>
  <c r="D227" i="1"/>
</calcChain>
</file>

<file path=xl/sharedStrings.xml><?xml version="1.0" encoding="utf-8"?>
<sst xmlns="http://schemas.openxmlformats.org/spreadsheetml/2006/main" count="1605" uniqueCount="457">
  <si>
    <t>Expense Line Item</t>
  </si>
  <si>
    <t>Centalized Department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</si>
  <si>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</si>
  <si>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</si>
  <si>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</si>
  <si>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</si>
  <si>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</si>
  <si>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</si>
  <si>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</si>
  <si>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</si>
  <si>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</si>
  <si>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</si>
  <si>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</si>
  <si>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</si>
  <si>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</si>
  <si>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</si>
  <si>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</si>
  <si>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</si>
  <si>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</si>
  <si>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</si>
  <si>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</si>
  <si>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</si>
  <si>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</si>
  <si>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</si>
  <si>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</si>
  <si>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</si>
  <si>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</si>
  <si>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</si>
  <si>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</si>
  <si>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</si>
  <si>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</si>
  <si>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</si>
  <si>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</si>
  <si>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</si>
  <si>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</si>
  <si>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</si>
  <si>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</si>
  <si>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</si>
  <si>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</si>
  <si>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</si>
  <si>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</si>
  <si>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</si>
  <si>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</si>
  <si>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</si>
  <si>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</si>
  <si>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</si>
  <si>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</si>
  <si>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</si>
  <si>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</si>
  <si>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</si>
  <si>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</si>
  <si>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</si>
  <si>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</si>
  <si>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</si>
  <si>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</si>
  <si>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</si>
  <si>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</si>
  <si>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</si>
  <si>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</si>
  <si>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</si>
  <si>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</si>
  <si>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</si>
  <si>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</si>
  <si>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</si>
  <si>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</si>
  <si>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</si>
  <si>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</si>
  <si>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</si>
  <si>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</si>
  <si>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</si>
  <si>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</si>
  <si>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</si>
  <si>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</si>
  <si>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</si>
  <si>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</si>
  <si>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</si>
  <si>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</si>
  <si>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</si>
  <si>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</si>
  <si>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</si>
  <si>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</si>
  <si>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</si>
  <si>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</si>
  <si>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</si>
  <si>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</si>
  <si>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</si>
  <si>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</si>
  <si>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</si>
  <si>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</si>
  <si>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</si>
  <si>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</si>
  <si>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</si>
  <si>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</si>
  <si>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</si>
  <si>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</si>
  <si>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</si>
  <si>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</si>
  <si>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</si>
  <si>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</si>
  <si>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</si>
  <si>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</si>
  <si>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</si>
  <si>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</si>
  <si>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</si>
  <si>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</si>
  <si>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</si>
  <si>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</si>
  <si>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</si>
  <si>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</si>
  <si>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</si>
  <si>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</si>
  <si>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</si>
  <si>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</si>
  <si>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</si>
  <si>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</si>
  <si>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</si>
  <si>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</si>
  <si>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</si>
  <si>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</si>
  <si>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</si>
  <si>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</si>
  <si>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</si>
  <si>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</si>
  <si>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</si>
  <si>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</si>
  <si>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</si>
  <si>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</si>
  <si>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</si>
  <si>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</si>
  <si>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</si>
  <si>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</si>
  <si>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</si>
  <si>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</si>
  <si>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</si>
  <si>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</si>
  <si>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</si>
  <si>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</si>
  <si>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</si>
  <si>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</si>
  <si>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</si>
  <si>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</si>
  <si>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</si>
  <si>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</si>
  <si>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</si>
  <si>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</si>
  <si>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</si>
  <si>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</si>
  <si>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</si>
  <si>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</si>
  <si>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</si>
  <si>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</si>
  <si>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</si>
  <si>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</si>
  <si>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</si>
  <si>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</si>
  <si>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</si>
  <si>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</si>
  <si>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</si>
  <si>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</si>
  <si>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</si>
  <si>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</si>
  <si>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</si>
  <si>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</si>
  <si>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</si>
  <si>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</si>
  <si>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</si>
  <si>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</si>
  <si>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</si>
  <si>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</si>
  <si>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</si>
  <si>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</si>
  <si>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</si>
  <si>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</si>
  <si>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</si>
  <si>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</si>
  <si>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</si>
  <si>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</si>
  <si>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</si>
  <si>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</si>
  <si>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</si>
  <si>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</si>
  <si>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</si>
  <si>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</si>
  <si>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</si>
  <si>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</si>
  <si>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</si>
  <si>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</si>
  <si>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</si>
  <si>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</si>
  <si>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</si>
  <si>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</si>
  <si>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</si>
  <si>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</si>
  <si>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</si>
  <si>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</si>
  <si>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</si>
  <si>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</si>
  <si>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</si>
  <si>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</si>
  <si>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</si>
  <si>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</si>
  <si>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</si>
  <si>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</si>
  <si>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</si>
  <si>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</si>
  <si>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</si>
  <si>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</si>
  <si>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</si>
  <si>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Hardware Maintenance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</si>
  <si>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</si>
  <si>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</si>
  <si>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</si>
  <si>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</si>
  <si>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</si>
  <si>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</si>
  <si>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</si>
  <si>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</si>
  <si>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</si>
  <si>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</si>
  <si>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</si>
  <si>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</si>
  <si>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</si>
  <si>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</si>
  <si>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</si>
  <si>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</si>
  <si>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</si>
  <si>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</si>
  <si>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</si>
  <si>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</si>
  <si>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</si>
  <si>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</si>
  <si>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</si>
  <si>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</si>
  <si>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</si>
  <si>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</si>
  <si>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</si>
  <si>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</si>
  <si>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</si>
  <si>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</si>
  <si>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</si>
  <si>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</si>
  <si>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</si>
  <si>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</si>
  <si>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</si>
  <si>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</si>
  <si>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</si>
  <si>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</si>
  <si>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</si>
  <si>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</si>
  <si>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</si>
  <si>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</si>
  <si>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</si>
  <si>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</si>
  <si>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</si>
  <si>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</si>
  <si>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</si>
  <si>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</si>
  <si>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</si>
  <si>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</si>
  <si>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</si>
  <si>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</si>
  <si>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</si>
  <si>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</si>
  <si>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</si>
  <si>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</si>
  <si>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</si>
  <si>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</si>
  <si>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</si>
  <si>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</si>
  <si>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</si>
  <si>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</si>
  <si>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</si>
  <si>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</si>
  <si>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</si>
  <si>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</si>
  <si>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</si>
  <si>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</si>
  <si>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</si>
  <si>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</si>
  <si>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</si>
  <si>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</si>
  <si>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</si>
  <si>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</si>
  <si>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</si>
  <si>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</si>
  <si>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</si>
  <si>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</si>
  <si>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</si>
  <si>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</si>
  <si>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</si>
  <si>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</si>
  <si>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</si>
  <si>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</si>
  <si>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</si>
  <si>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</si>
  <si>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</si>
  <si>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</si>
  <si>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</si>
  <si>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</si>
  <si>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</si>
  <si>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</si>
  <si>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</si>
  <si>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</si>
  <si>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</si>
  <si>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</si>
  <si>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</si>
  <si>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</si>
  <si>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</si>
  <si>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</si>
  <si>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</si>
  <si>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</si>
  <si>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</si>
  <si>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</si>
  <si>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</si>
  <si>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</si>
  <si>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</si>
  <si>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</si>
  <si>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</si>
  <si>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</si>
  <si>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</si>
  <si>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</si>
  <si>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Actuarial Valuation - Interim</t>
  </si>
  <si>
    <t>Actuarial Valuation - December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</si>
  <si>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</si>
  <si>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</si>
  <si>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</si>
  <si>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</si>
  <si>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</si>
  <si>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</si>
  <si>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</si>
  <si>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</si>
  <si>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</si>
  <si>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</si>
  <si>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</si>
  <si>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</si>
  <si>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</si>
  <si>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</si>
  <si>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</si>
  <si>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</si>
  <si>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</si>
  <si>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</si>
  <si>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</si>
  <si>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</si>
  <si>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</si>
  <si>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</si>
  <si>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</si>
  <si>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</si>
  <si>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</si>
  <si>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</si>
  <si>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</si>
  <si>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</si>
  <si>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</si>
  <si>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</si>
  <si>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</si>
  <si>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</si>
  <si>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</si>
  <si>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Admin Services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</si>
  <si>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</si>
  <si>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</si>
  <si>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</si>
  <si>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</si>
  <si>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</si>
  <si>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</si>
  <si>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</si>
  <si>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</si>
  <si>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</si>
  <si>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</si>
  <si>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</si>
  <si>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Budget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</si>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</sst>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P336"/>
  <sheetViews>
    <sheetView tabSelected="1" zoomScale="70" zoomScaleNormal="70" workbookViewId="0">
      <pane xSplit="6" ySplit="2" topLeftCell="G3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3.1796875" customWidth="1"/>
    <col min="6" max="6" width="29" style="5" customWidth="1"/>
    <col min="7" max="7" width="15.1796875" style="5" bestFit="1" customWidth="1"/>
    <col min="8" max="8" width="40.453125" style="5" hidden="1" customWidth="1"/>
    <col min="9" max="9" width="25.1796875" customWidth="1"/>
    <col min="10" max="10" width="22.08984375" customWidth="1"/>
    <col min="11" max="11" width="23.08984375" customWidth="1"/>
    <col min="12" max="12" width="61.26953125" bestFit="1" customWidth="1"/>
    <col min="13" max="13" width="65.90625" bestFit="1" customWidth="1"/>
    <col min="14" max="14" width="51.7265625" customWidth="1"/>
    <col min="15" max="15" width="19.26953125" customWidth="1"/>
    <col min="16" max="16" width="24.54296875" bestFit="1" customWidth="1"/>
  </cols>
  <sheetData>
    <row r="1" spans="1:16" s="6" customFormat="1" x14ac:dyDescent="0.35">
      <c r="E1" s="6" t="s">
        <v>226</v>
      </c>
      <c r="F1" s="6" t="s">
        <v>226</v>
      </c>
      <c r="G1" s="6" t="s">
        <v>226</v>
      </c>
      <c r="H1" s="7"/>
      <c r="J1" s="6" t="s">
        <v>250</v>
      </c>
      <c r="K1" s="6" t="s">
        <v>250</v>
      </c>
    </row>
    <row r="2" spans="1:16" x14ac:dyDescent="0.35">
      <c r="A2" t="s">
        <v>454</v>
      </c>
      <c r="B2" t="s">
        <v>455</v>
      </c>
      <c r="C2" t="s">
        <v>456</v>
      </c>
      <c r="D2" s="2" t="s">
        <v>440</v>
      </c>
      <c r="E2" s="2" t="s">
        <v>216</v>
      </c>
      <c r="F2" s="3" t="s">
        <v>0</v>
      </c>
      <c r="G2" s="3" t="s">
        <v>220</v>
      </c>
      <c r="H2" s="3" t="s">
        <v>167</v>
      </c>
      <c r="I2" s="1" t="s">
        <v>1</v>
      </c>
      <c r="J2" s="1" t="s">
        <v>25</v>
      </c>
      <c r="K2" s="1" t="s">
        <v>26</v>
      </c>
      <c r="L2" s="1" t="s">
        <v>24</v>
      </c>
      <c r="M2" s="1" t="s">
        <v>259</v>
      </c>
      <c r="N2" s="1" t="s">
        <v>260</v>
      </c>
      <c r="O2" s="1" t="s">
        <v>92</v>
      </c>
      <c r="P2" s="1" t="s">
        <v>333</v>
      </c>
    </row>
    <row r="3" spans="1:16" x14ac:dyDescent="0.35">
      <c r="A3" t="str">
        <f>_xlfn.XLOOKUP(I3,Sheet3!A:A,Sheet3!B:B)</f>
        <v>AS</v>
      </c>
      <c r="B3">
        <v>26</v>
      </c>
      <c r="C3" s="10">
        <v>1</v>
      </c>
      <c r="D3" t="str">
        <f>A3&amp;-B3&amp;-C3</f>
        <v>AS-26-1</v>
      </c>
      <c r="E3" t="s">
        <v>227</v>
      </c>
      <c r="F3" t="s">
        <v>381</v>
      </c>
      <c r="G3"/>
      <c r="H3"/>
      <c r="I3" t="s">
        <v>356</v>
      </c>
      <c r="J3">
        <v>81123102</v>
      </c>
      <c r="K3">
        <v>52041499</v>
      </c>
      <c r="L3" t="s">
        <v>254</v>
      </c>
      <c r="M3" t="s">
        <v>255</v>
      </c>
      <c r="N3" t="s">
        <v>261</v>
      </c>
      <c r="P3" t="s">
        <v>356</v>
      </c>
    </row>
    <row r="4" spans="1:16" x14ac:dyDescent="0.35">
      <c r="A4" t="str">
        <f>_xlfn.XLOOKUP(I4,Sheet3!A:A,Sheet3!B:B)</f>
        <v>AS</v>
      </c>
      <c r="B4">
        <v>26</v>
      </c>
      <c r="C4" s="11">
        <f>C3+1</f>
        <v>2</v>
      </c>
      <c r="D4" t="str">
        <f>A4&amp;-B4&amp;-C4</f>
        <v>AS-26-2</v>
      </c>
      <c r="E4" t="s">
        <v>227</v>
      </c>
      <c r="F4" t="s">
        <v>228</v>
      </c>
      <c r="G4"/>
      <c r="H4"/>
      <c r="I4" t="s">
        <v>356</v>
      </c>
      <c r="J4">
        <v>81123102</v>
      </c>
      <c r="K4">
        <v>52041499</v>
      </c>
      <c r="L4" t="s">
        <v>254</v>
      </c>
      <c r="M4" t="s">
        <v>255</v>
      </c>
      <c r="N4" t="s">
        <v>261</v>
      </c>
      <c r="P4" t="s">
        <v>356</v>
      </c>
    </row>
    <row r="5" spans="1:16" x14ac:dyDescent="0.35">
      <c r="A5" t="str">
        <f>_xlfn.XLOOKUP(I5,Sheet3!A:A,Sheet3!B:B)</f>
        <v>AS</v>
      </c>
      <c r="B5">
        <v>26</v>
      </c>
      <c r="C5" s="11">
        <f t="shared" ref="C5:C35" si="0">C4+1</f>
        <v>3</v>
      </c>
      <c r="D5" t="str">
        <f>A5&amp;-B5&amp;-C5</f>
        <v>AS-26-3</v>
      </c>
      <c r="E5" t="s">
        <v>227</v>
      </c>
      <c r="F5" t="s">
        <v>229</v>
      </c>
      <c r="G5"/>
      <c r="H5"/>
      <c r="I5" t="s">
        <v>356</v>
      </c>
      <c r="J5">
        <v>81123102</v>
      </c>
      <c r="K5">
        <v>52041499</v>
      </c>
      <c r="L5" t="s">
        <v>254</v>
      </c>
      <c r="M5" t="s">
        <v>255</v>
      </c>
      <c r="N5" t="s">
        <v>261</v>
      </c>
      <c r="P5" t="s">
        <v>356</v>
      </c>
    </row>
    <row r="6" spans="1:16" x14ac:dyDescent="0.35">
      <c r="A6" t="str">
        <f>_xlfn.XLOOKUP(I6,Sheet3!A:A,Sheet3!B:B)</f>
        <v>AS</v>
      </c>
      <c r="B6">
        <v>26</v>
      </c>
      <c r="C6" s="11">
        <f t="shared" si="0"/>
        <v>4</v>
      </c>
      <c r="D6" t="str">
        <f>A6&amp;-B6&amp;-C6</f>
        <v>AS-26-4</v>
      </c>
      <c r="E6" t="s">
        <v>421</v>
      </c>
      <c r="F6" t="s">
        <v>12</v>
      </c>
      <c r="G6" t="s">
        <v>221</v>
      </c>
      <c r="H6"/>
      <c r="I6" t="s">
        <v>356</v>
      </c>
      <c r="J6">
        <v>81123102</v>
      </c>
      <c r="K6">
        <v>52951101</v>
      </c>
      <c r="L6" s="5" t="s">
        <v>419</v>
      </c>
      <c r="N6" t="s">
        <v>411</v>
      </c>
    </row>
    <row r="7" spans="1:16" x14ac:dyDescent="0.35">
      <c r="A7" t="str">
        <f>_xlfn.XLOOKUP(I7,Sheet3!A:A,Sheet3!B:B)</f>
        <v>AS</v>
      </c>
      <c r="B7">
        <v>26</v>
      </c>
      <c r="C7" s="11">
        <f t="shared" si="0"/>
        <v>5</v>
      </c>
      <c r="D7" t="str">
        <f>A7&amp;-B7&amp;-C7</f>
        <v>AS-26-5</v>
      </c>
      <c r="E7" t="s">
        <v>421</v>
      </c>
      <c r="F7" t="s">
        <v>12</v>
      </c>
      <c r="G7" t="s">
        <v>222</v>
      </c>
      <c r="H7"/>
      <c r="I7" t="s">
        <v>356</v>
      </c>
      <c r="J7">
        <v>80123102</v>
      </c>
      <c r="K7">
        <v>61721101</v>
      </c>
      <c r="L7" s="5" t="s">
        <v>419</v>
      </c>
      <c r="N7" t="s">
        <v>411</v>
      </c>
    </row>
    <row r="8" spans="1:16" x14ac:dyDescent="0.35">
      <c r="A8" t="str">
        <f>_xlfn.XLOOKUP(I8,Sheet3!A:A,Sheet3!B:B)</f>
        <v>AS</v>
      </c>
      <c r="B8">
        <v>26</v>
      </c>
      <c r="C8" s="11">
        <f t="shared" si="0"/>
        <v>6</v>
      </c>
      <c r="D8" t="str">
        <f>A8&amp;-B8&amp;-C8</f>
        <v>AS-26-6</v>
      </c>
      <c r="E8" t="s">
        <v>421</v>
      </c>
      <c r="F8" s="5" t="s">
        <v>278</v>
      </c>
      <c r="I8" t="s">
        <v>356</v>
      </c>
      <c r="J8">
        <v>80123102</v>
      </c>
      <c r="K8">
        <v>61721101</v>
      </c>
    </row>
    <row r="9" spans="1:16" x14ac:dyDescent="0.35">
      <c r="A9" t="str">
        <f>_xlfn.XLOOKUP(I9,Sheet3!A:A,Sheet3!B:B)</f>
        <v>AS</v>
      </c>
      <c r="B9">
        <v>26</v>
      </c>
      <c r="C9" s="11">
        <f t="shared" si="0"/>
        <v>7</v>
      </c>
      <c r="D9" t="str">
        <f>A9&amp;-B9&amp;-C9</f>
        <v>AS-26-7</v>
      </c>
      <c r="E9" t="s">
        <v>421</v>
      </c>
      <c r="F9" s="5" t="s">
        <v>279</v>
      </c>
      <c r="I9" t="s">
        <v>356</v>
      </c>
      <c r="J9">
        <v>80123102</v>
      </c>
      <c r="K9">
        <v>61721101</v>
      </c>
    </row>
    <row r="10" spans="1:16" x14ac:dyDescent="0.35">
      <c r="A10" t="str">
        <f>_xlfn.XLOOKUP(I10,Sheet3!A:A,Sheet3!B:B)</f>
        <v>AS</v>
      </c>
      <c r="B10">
        <v>26</v>
      </c>
      <c r="C10" s="11">
        <f t="shared" si="0"/>
        <v>8</v>
      </c>
      <c r="D10" t="str">
        <f>A10&amp;-B10&amp;-C10</f>
        <v>AS-26-8</v>
      </c>
      <c r="E10" t="s">
        <v>421</v>
      </c>
      <c r="F10" t="s">
        <v>11</v>
      </c>
      <c r="G10"/>
      <c r="H10"/>
      <c r="I10" t="s">
        <v>356</v>
      </c>
      <c r="J10">
        <v>80123102</v>
      </c>
      <c r="K10">
        <v>61721101</v>
      </c>
      <c r="L10" t="s">
        <v>10</v>
      </c>
      <c r="P10" t="s">
        <v>356</v>
      </c>
    </row>
    <row r="11" spans="1:16" x14ac:dyDescent="0.35">
      <c r="A11" t="str">
        <f>_xlfn.XLOOKUP(I11,Sheet3!A:A,Sheet3!B:B)</f>
        <v>AS</v>
      </c>
      <c r="B11">
        <v>26</v>
      </c>
      <c r="C11" s="11">
        <f t="shared" si="0"/>
        <v>9</v>
      </c>
      <c r="D11" t="str">
        <f>A11&amp;-B11&amp;-C11</f>
        <v>AS-26-9</v>
      </c>
      <c r="E11" t="s">
        <v>22</v>
      </c>
      <c r="F11" t="s">
        <v>22</v>
      </c>
      <c r="G11"/>
      <c r="H11"/>
      <c r="I11" t="s">
        <v>356</v>
      </c>
      <c r="J11">
        <v>81123102</v>
      </c>
      <c r="K11">
        <v>52081103</v>
      </c>
      <c r="L11" t="s">
        <v>263</v>
      </c>
      <c r="M11" t="s">
        <v>256</v>
      </c>
      <c r="N11" t="s">
        <v>261</v>
      </c>
      <c r="P11" t="s">
        <v>356</v>
      </c>
    </row>
    <row r="12" spans="1:16" x14ac:dyDescent="0.35">
      <c r="A12" t="str">
        <f>_xlfn.XLOOKUP(I12,Sheet3!A:A,Sheet3!B:B)</f>
        <v>AS</v>
      </c>
      <c r="B12">
        <v>26</v>
      </c>
      <c r="C12" s="11">
        <f t="shared" si="0"/>
        <v>10</v>
      </c>
      <c r="D12" t="str">
        <f>A12&amp;-B12&amp;-C12</f>
        <v>AS-26-10</v>
      </c>
      <c r="E12" t="s">
        <v>266</v>
      </c>
      <c r="F12" t="s">
        <v>230</v>
      </c>
      <c r="G12"/>
      <c r="H12"/>
      <c r="I12" t="s">
        <v>356</v>
      </c>
      <c r="J12">
        <v>80123102</v>
      </c>
      <c r="K12">
        <v>61711101</v>
      </c>
      <c r="P12" t="s">
        <v>356</v>
      </c>
    </row>
    <row r="13" spans="1:16" x14ac:dyDescent="0.35">
      <c r="A13" t="str">
        <f>_xlfn.XLOOKUP(I13,Sheet3!A:A,Sheet3!B:B)</f>
        <v>AS</v>
      </c>
      <c r="B13">
        <v>26</v>
      </c>
      <c r="C13" s="11">
        <f t="shared" si="0"/>
        <v>11</v>
      </c>
      <c r="D13" t="str">
        <f>A13&amp;-B13&amp;-C13</f>
        <v>AS-26-11</v>
      </c>
      <c r="E13" t="s">
        <v>266</v>
      </c>
      <c r="F13" t="s">
        <v>265</v>
      </c>
      <c r="G13"/>
      <c r="H13"/>
      <c r="I13" t="s">
        <v>356</v>
      </c>
      <c r="J13">
        <v>80123102</v>
      </c>
      <c r="K13">
        <v>61711101</v>
      </c>
      <c r="L13" t="s">
        <v>251</v>
      </c>
      <c r="P13" t="s">
        <v>356</v>
      </c>
    </row>
    <row r="14" spans="1:16" x14ac:dyDescent="0.35">
      <c r="A14" t="str">
        <f>_xlfn.XLOOKUP(I14,Sheet3!A:A,Sheet3!B:B)</f>
        <v>AS</v>
      </c>
      <c r="B14">
        <v>26</v>
      </c>
      <c r="C14" s="11">
        <f t="shared" si="0"/>
        <v>12</v>
      </c>
      <c r="D14" t="str">
        <f>A14&amp;-B14&amp;-C14</f>
        <v>AS-26-12</v>
      </c>
      <c r="E14" t="s">
        <v>2</v>
      </c>
      <c r="F14" t="s">
        <v>2</v>
      </c>
      <c r="G14"/>
      <c r="H14"/>
      <c r="I14" t="s">
        <v>356</v>
      </c>
      <c r="J14">
        <v>80123102</v>
      </c>
      <c r="K14">
        <v>61041101</v>
      </c>
      <c r="P14" t="s">
        <v>88</v>
      </c>
    </row>
    <row r="15" spans="1:16" x14ac:dyDescent="0.35">
      <c r="A15" t="str">
        <f>_xlfn.XLOOKUP(I15,Sheet3!A:A,Sheet3!B:B)</f>
        <v>AS</v>
      </c>
      <c r="B15">
        <v>26</v>
      </c>
      <c r="C15" s="11">
        <f t="shared" si="0"/>
        <v>13</v>
      </c>
      <c r="D15" t="str">
        <f>A15&amp;-B15&amp;-C15</f>
        <v>AS-26-13</v>
      </c>
      <c r="E15" t="s">
        <v>231</v>
      </c>
      <c r="F15" t="s">
        <v>89</v>
      </c>
      <c r="G15"/>
      <c r="H15"/>
      <c r="I15" t="s">
        <v>356</v>
      </c>
      <c r="J15">
        <v>80123102</v>
      </c>
      <c r="K15">
        <v>61111201</v>
      </c>
      <c r="P15" t="s">
        <v>356</v>
      </c>
    </row>
    <row r="16" spans="1:16" x14ac:dyDescent="0.35">
      <c r="A16" t="str">
        <f>_xlfn.XLOOKUP(I16,Sheet3!A:A,Sheet3!B:B)</f>
        <v>AS</v>
      </c>
      <c r="B16">
        <v>26</v>
      </c>
      <c r="C16" s="11">
        <f t="shared" si="0"/>
        <v>14</v>
      </c>
      <c r="D16" t="str">
        <f>A16&amp;-B16&amp;-C16</f>
        <v>AS-26-14</v>
      </c>
      <c r="E16" t="s">
        <v>231</v>
      </c>
      <c r="F16" t="s">
        <v>18</v>
      </c>
      <c r="G16"/>
      <c r="H16"/>
      <c r="I16" t="s">
        <v>356</v>
      </c>
      <c r="J16">
        <v>81123102</v>
      </c>
      <c r="K16">
        <v>52119101</v>
      </c>
      <c r="L16" t="s">
        <v>425</v>
      </c>
      <c r="M16" t="s">
        <v>426</v>
      </c>
      <c r="N16" t="s">
        <v>261</v>
      </c>
      <c r="P16" t="s">
        <v>356</v>
      </c>
    </row>
    <row r="17" spans="1:16" x14ac:dyDescent="0.35">
      <c r="A17" t="str">
        <f>_xlfn.XLOOKUP(I17,Sheet3!A:A,Sheet3!B:B)</f>
        <v>AS</v>
      </c>
      <c r="B17">
        <v>26</v>
      </c>
      <c r="C17" s="11">
        <f t="shared" si="0"/>
        <v>15</v>
      </c>
      <c r="D17" t="str">
        <f>A17&amp;-B17&amp;-C17</f>
        <v>AS-26-15</v>
      </c>
      <c r="E17" t="s">
        <v>4</v>
      </c>
      <c r="F17" t="s">
        <v>4</v>
      </c>
      <c r="G17"/>
      <c r="H17"/>
      <c r="I17" t="s">
        <v>356</v>
      </c>
      <c r="J17">
        <v>81123102</v>
      </c>
      <c r="K17">
        <v>52041405</v>
      </c>
      <c r="L17" t="s">
        <v>254</v>
      </c>
      <c r="M17" t="s">
        <v>255</v>
      </c>
      <c r="N17" t="s">
        <v>261</v>
      </c>
      <c r="P17" t="s">
        <v>356</v>
      </c>
    </row>
    <row r="18" spans="1:16" x14ac:dyDescent="0.35">
      <c r="A18" t="str">
        <f>_xlfn.XLOOKUP(I18,Sheet3!A:A,Sheet3!B:B)</f>
        <v>AS</v>
      </c>
      <c r="B18">
        <v>26</v>
      </c>
      <c r="C18" s="11">
        <f t="shared" si="0"/>
        <v>16</v>
      </c>
      <c r="D18" t="str">
        <f>A18&amp;-B18&amp;-C18</f>
        <v>AS-26-16</v>
      </c>
      <c r="E18" t="s">
        <v>312</v>
      </c>
      <c r="F18" t="s">
        <v>232</v>
      </c>
      <c r="G18"/>
      <c r="H18"/>
      <c r="I18" t="s">
        <v>356</v>
      </c>
      <c r="J18">
        <v>81123102</v>
      </c>
      <c r="K18">
        <v>52111102</v>
      </c>
      <c r="L18" t="s">
        <v>251</v>
      </c>
      <c r="O18" t="s">
        <v>252</v>
      </c>
    </row>
    <row r="19" spans="1:16" x14ac:dyDescent="0.35">
      <c r="A19" t="str">
        <f>_xlfn.XLOOKUP(I19,Sheet3!A:A,Sheet3!B:B)</f>
        <v>AS</v>
      </c>
      <c r="B19">
        <v>26</v>
      </c>
      <c r="C19" s="11">
        <f t="shared" si="0"/>
        <v>17</v>
      </c>
      <c r="D19" t="str">
        <f>A19&amp;-B19&amp;-C19</f>
        <v>AS-26-17</v>
      </c>
      <c r="E19" t="s">
        <v>312</v>
      </c>
      <c r="F19" t="s">
        <v>233</v>
      </c>
      <c r="G19"/>
      <c r="H19"/>
      <c r="I19" t="s">
        <v>356</v>
      </c>
      <c r="J19">
        <v>81123102</v>
      </c>
      <c r="K19">
        <v>52111102</v>
      </c>
      <c r="L19" t="s">
        <v>251</v>
      </c>
      <c r="O19" t="s">
        <v>253</v>
      </c>
    </row>
    <row r="20" spans="1:16" x14ac:dyDescent="0.35">
      <c r="A20" t="str">
        <f>_xlfn.XLOOKUP(I20,Sheet3!A:A,Sheet3!B:B)</f>
        <v>AS</v>
      </c>
      <c r="B20">
        <v>26</v>
      </c>
      <c r="C20" s="11">
        <f t="shared" si="0"/>
        <v>18</v>
      </c>
      <c r="D20" t="str">
        <f>A20&amp;-B20&amp;-C20</f>
        <v>AS-26-18</v>
      </c>
      <c r="E20" t="s">
        <v>23</v>
      </c>
      <c r="F20" t="s">
        <v>23</v>
      </c>
      <c r="G20"/>
      <c r="H20"/>
      <c r="I20" t="s">
        <v>356</v>
      </c>
      <c r="J20">
        <v>80123102</v>
      </c>
      <c r="K20">
        <v>61081101</v>
      </c>
      <c r="L20" t="s">
        <v>257</v>
      </c>
      <c r="M20" t="s">
        <v>258</v>
      </c>
      <c r="N20" t="s">
        <v>262</v>
      </c>
      <c r="P20" t="s">
        <v>356</v>
      </c>
    </row>
    <row r="21" spans="1:16" x14ac:dyDescent="0.35">
      <c r="A21" t="str">
        <f>_xlfn.XLOOKUP(I21,Sheet3!A:A,Sheet3!B:B)</f>
        <v>AS</v>
      </c>
      <c r="B21">
        <v>26</v>
      </c>
      <c r="C21" s="11">
        <f t="shared" si="0"/>
        <v>19</v>
      </c>
      <c r="D21" t="str">
        <f>A21&amp;-B21&amp;-C21</f>
        <v>AS-26-19</v>
      </c>
      <c r="E21" t="s">
        <v>310</v>
      </c>
      <c r="F21" t="s">
        <v>265</v>
      </c>
      <c r="G21"/>
      <c r="H21"/>
      <c r="I21" t="s">
        <v>356</v>
      </c>
      <c r="J21">
        <v>81123102</v>
      </c>
      <c r="K21">
        <v>52111101</v>
      </c>
      <c r="L21" t="s">
        <v>251</v>
      </c>
    </row>
    <row r="22" spans="1:16" x14ac:dyDescent="0.35">
      <c r="A22" t="str">
        <f>_xlfn.XLOOKUP(I22,Sheet3!A:A,Sheet3!B:B)</f>
        <v>AS</v>
      </c>
      <c r="B22">
        <v>26</v>
      </c>
      <c r="C22" s="11">
        <f t="shared" si="0"/>
        <v>20</v>
      </c>
      <c r="D22" t="str">
        <f>A22&amp;-B22&amp;-C22</f>
        <v>AS-26-20</v>
      </c>
      <c r="E22" t="s">
        <v>310</v>
      </c>
      <c r="F22" t="s">
        <v>271</v>
      </c>
      <c r="G22"/>
      <c r="H22"/>
      <c r="I22" t="s">
        <v>356</v>
      </c>
      <c r="J22">
        <v>81123102</v>
      </c>
      <c r="K22">
        <v>52111101</v>
      </c>
    </row>
    <row r="23" spans="1:16" x14ac:dyDescent="0.35">
      <c r="A23" t="str">
        <f>_xlfn.XLOOKUP(I23,Sheet3!A:A,Sheet3!B:B)</f>
        <v>AS</v>
      </c>
      <c r="B23">
        <v>26</v>
      </c>
      <c r="C23" s="11">
        <f t="shared" si="0"/>
        <v>21</v>
      </c>
      <c r="D23" t="str">
        <f>A23&amp;-B23&amp;-C23</f>
        <v>AS-26-21</v>
      </c>
      <c r="E23" t="s">
        <v>280</v>
      </c>
      <c r="F23" s="5" t="s">
        <v>280</v>
      </c>
      <c r="I23" t="s">
        <v>356</v>
      </c>
      <c r="J23">
        <v>80123102</v>
      </c>
      <c r="K23">
        <v>61721103</v>
      </c>
    </row>
    <row r="24" spans="1:16" x14ac:dyDescent="0.35">
      <c r="A24" t="str">
        <f>_xlfn.XLOOKUP(I24,Sheet3!A:A,Sheet3!B:B)</f>
        <v>AS</v>
      </c>
      <c r="B24">
        <v>26</v>
      </c>
      <c r="C24" s="11">
        <f t="shared" si="0"/>
        <v>22</v>
      </c>
      <c r="D24" t="str">
        <f>A24&amp;-B24&amp;-C24</f>
        <v>AS-26-22</v>
      </c>
      <c r="E24" t="s">
        <v>90</v>
      </c>
      <c r="F24" t="s">
        <v>90</v>
      </c>
      <c r="G24"/>
      <c r="H24"/>
      <c r="I24" t="s">
        <v>356</v>
      </c>
      <c r="J24">
        <v>80123102</v>
      </c>
      <c r="K24">
        <v>61071099</v>
      </c>
      <c r="P24" t="s">
        <v>356</v>
      </c>
    </row>
    <row r="25" spans="1:16" x14ac:dyDescent="0.35">
      <c r="A25" t="str">
        <f>_xlfn.XLOOKUP(I25,Sheet3!A:A,Sheet3!B:B)</f>
        <v>AS</v>
      </c>
      <c r="B25">
        <v>26</v>
      </c>
      <c r="C25" s="11">
        <f t="shared" si="0"/>
        <v>23</v>
      </c>
      <c r="D25" t="str">
        <f>A25&amp;-B25&amp;-C25</f>
        <v>AS-26-23</v>
      </c>
      <c r="E25" t="s">
        <v>300</v>
      </c>
      <c r="F25" s="8" t="s">
        <v>383</v>
      </c>
      <c r="G25"/>
      <c r="H25"/>
      <c r="I25" t="s">
        <v>356</v>
      </c>
      <c r="J25">
        <v>81123102</v>
      </c>
      <c r="K25">
        <v>52061101</v>
      </c>
    </row>
    <row r="26" spans="1:16" x14ac:dyDescent="0.35">
      <c r="A26" t="str">
        <f>_xlfn.XLOOKUP(I26,Sheet3!A:A,Sheet3!B:B)</f>
        <v>AS</v>
      </c>
      <c r="B26">
        <v>26</v>
      </c>
      <c r="C26" s="11">
        <f t="shared" si="0"/>
        <v>24</v>
      </c>
      <c r="D26" t="str">
        <f>A26&amp;-B26&amp;-C26</f>
        <v>AS-26-24</v>
      </c>
      <c r="E26" t="s">
        <v>300</v>
      </c>
      <c r="F26" t="s">
        <v>235</v>
      </c>
      <c r="G26"/>
      <c r="H26"/>
      <c r="I26" t="s">
        <v>356</v>
      </c>
      <c r="J26">
        <v>81123102</v>
      </c>
      <c r="K26">
        <v>52061103</v>
      </c>
      <c r="L26" t="s">
        <v>251</v>
      </c>
    </row>
    <row r="27" spans="1:16" x14ac:dyDescent="0.35">
      <c r="A27" t="str">
        <f>_xlfn.XLOOKUP(I27,Sheet3!A:A,Sheet3!B:B)</f>
        <v>AS</v>
      </c>
      <c r="B27">
        <v>26</v>
      </c>
      <c r="C27" s="11">
        <f t="shared" si="0"/>
        <v>25</v>
      </c>
      <c r="D27" t="str">
        <f>A27&amp;-B27&amp;-C27</f>
        <v>AS-26-25</v>
      </c>
      <c r="E27" t="s">
        <v>300</v>
      </c>
      <c r="F27" t="s">
        <v>384</v>
      </c>
      <c r="G27"/>
      <c r="H27"/>
      <c r="I27" t="s">
        <v>356</v>
      </c>
      <c r="J27">
        <v>81123102</v>
      </c>
      <c r="K27">
        <v>52061111</v>
      </c>
      <c r="L27" t="s">
        <v>251</v>
      </c>
    </row>
    <row r="28" spans="1:16" x14ac:dyDescent="0.35">
      <c r="A28" t="str">
        <f>_xlfn.XLOOKUP(I28,Sheet3!A:A,Sheet3!B:B)</f>
        <v>AS</v>
      </c>
      <c r="B28">
        <v>26</v>
      </c>
      <c r="C28" s="11">
        <f t="shared" si="0"/>
        <v>26</v>
      </c>
      <c r="D28" t="str">
        <f>A28&amp;-B28&amp;-C28</f>
        <v>AS-26-26</v>
      </c>
      <c r="E28" t="s">
        <v>300</v>
      </c>
      <c r="F28" s="8" t="s">
        <v>272</v>
      </c>
      <c r="G28"/>
      <c r="H28"/>
      <c r="I28" t="s">
        <v>356</v>
      </c>
      <c r="J28">
        <v>81123102</v>
      </c>
      <c r="K28">
        <v>52061101</v>
      </c>
      <c r="L28" t="s">
        <v>251</v>
      </c>
      <c r="O28" t="s">
        <v>418</v>
      </c>
    </row>
    <row r="29" spans="1:16" x14ac:dyDescent="0.35">
      <c r="A29" t="str">
        <f>_xlfn.XLOOKUP(I29,Sheet3!A:A,Sheet3!B:B)</f>
        <v>AS</v>
      </c>
      <c r="B29">
        <v>26</v>
      </c>
      <c r="C29" s="11">
        <f t="shared" si="0"/>
        <v>27</v>
      </c>
      <c r="D29" t="str">
        <f>A29&amp;-B29&amp;-C29</f>
        <v>AS-26-27</v>
      </c>
      <c r="E29" t="s">
        <v>300</v>
      </c>
      <c r="F29" t="s">
        <v>382</v>
      </c>
      <c r="G29"/>
      <c r="H29"/>
      <c r="I29" t="s">
        <v>356</v>
      </c>
      <c r="J29">
        <v>80123102</v>
      </c>
      <c r="K29">
        <v>61061104</v>
      </c>
    </row>
    <row r="30" spans="1:16" x14ac:dyDescent="0.35">
      <c r="A30" t="str">
        <f>_xlfn.XLOOKUP(I30,Sheet3!A:A,Sheet3!B:B)</f>
        <v>AS</v>
      </c>
      <c r="B30">
        <v>26</v>
      </c>
      <c r="C30" s="11">
        <f t="shared" si="0"/>
        <v>28</v>
      </c>
      <c r="D30" t="str">
        <f>A30&amp;-B30&amp;-C30</f>
        <v>AS-26-28</v>
      </c>
      <c r="E30" t="s">
        <v>300</v>
      </c>
      <c r="F30" t="s">
        <v>234</v>
      </c>
      <c r="G30"/>
      <c r="H30"/>
      <c r="I30" t="s">
        <v>356</v>
      </c>
      <c r="J30">
        <v>80123102</v>
      </c>
      <c r="K30">
        <v>61061104</v>
      </c>
      <c r="L30" t="s">
        <v>385</v>
      </c>
      <c r="M30" t="s">
        <v>386</v>
      </c>
      <c r="N30" t="s">
        <v>261</v>
      </c>
    </row>
    <row r="31" spans="1:16" x14ac:dyDescent="0.35">
      <c r="A31" t="str">
        <f>_xlfn.XLOOKUP(I31,Sheet3!A:A,Sheet3!B:B)</f>
        <v>AS</v>
      </c>
      <c r="B31">
        <v>26</v>
      </c>
      <c r="C31" s="11">
        <f t="shared" si="0"/>
        <v>29</v>
      </c>
      <c r="D31" t="str">
        <f>A31&amp;-B31&amp;-C31</f>
        <v>AS-26-29</v>
      </c>
      <c r="E31" t="s">
        <v>91</v>
      </c>
      <c r="F31" t="s">
        <v>91</v>
      </c>
      <c r="G31"/>
      <c r="H31"/>
      <c r="I31" t="s">
        <v>356</v>
      </c>
      <c r="J31">
        <v>81123102</v>
      </c>
      <c r="K31">
        <v>52041401</v>
      </c>
      <c r="L31" t="s">
        <v>254</v>
      </c>
      <c r="M31" t="s">
        <v>255</v>
      </c>
      <c r="N31" t="s">
        <v>261</v>
      </c>
      <c r="P31" t="s">
        <v>356</v>
      </c>
    </row>
    <row r="32" spans="1:16" x14ac:dyDescent="0.35">
      <c r="A32" t="str">
        <f>_xlfn.XLOOKUP(I32,Sheet3!A:A,Sheet3!B:B)</f>
        <v>AS</v>
      </c>
      <c r="B32">
        <v>26</v>
      </c>
      <c r="C32" s="11">
        <f t="shared" si="0"/>
        <v>30</v>
      </c>
      <c r="D32" t="str">
        <f>A32&amp;-B32&amp;-C32</f>
        <v>AS-26-30</v>
      </c>
      <c r="E32" t="s">
        <v>264</v>
      </c>
      <c r="F32" t="s">
        <v>21</v>
      </c>
      <c r="G32"/>
      <c r="H32"/>
      <c r="I32" t="s">
        <v>356</v>
      </c>
      <c r="J32">
        <v>81123102</v>
      </c>
      <c r="K32">
        <v>52081101</v>
      </c>
      <c r="P32" t="s">
        <v>356</v>
      </c>
    </row>
    <row r="33" spans="1:16" x14ac:dyDescent="0.35">
      <c r="A33" t="str">
        <f>_xlfn.XLOOKUP(I33,Sheet3!A:A,Sheet3!B:B)</f>
        <v>AS</v>
      </c>
      <c r="B33">
        <v>26</v>
      </c>
      <c r="C33" s="11">
        <f t="shared" si="0"/>
        <v>31</v>
      </c>
      <c r="D33" t="str">
        <f>A33&amp;-B33&amp;-C33</f>
        <v>AS-26-31</v>
      </c>
      <c r="E33" t="s">
        <v>264</v>
      </c>
      <c r="F33" t="s">
        <v>20</v>
      </c>
      <c r="G33"/>
      <c r="H33"/>
      <c r="I33" t="s">
        <v>356</v>
      </c>
      <c r="J33">
        <v>81123102</v>
      </c>
      <c r="K33">
        <v>52081101</v>
      </c>
      <c r="P33" t="s">
        <v>356</v>
      </c>
    </row>
    <row r="34" spans="1:16" x14ac:dyDescent="0.35">
      <c r="A34" t="str">
        <f>_xlfn.XLOOKUP(I34,Sheet3!A:A,Sheet3!B:B)</f>
        <v>AS</v>
      </c>
      <c r="B34">
        <v>26</v>
      </c>
      <c r="C34" s="11">
        <f t="shared" si="0"/>
        <v>32</v>
      </c>
      <c r="D34" t="str">
        <f>A34&amp;-B34&amp;-C34</f>
        <v>AS-26-32</v>
      </c>
      <c r="E34" t="s">
        <v>264</v>
      </c>
      <c r="F34" s="5" t="s">
        <v>420</v>
      </c>
      <c r="I34" t="s">
        <v>356</v>
      </c>
      <c r="J34" s="9">
        <v>80123102</v>
      </c>
      <c r="K34" s="9">
        <v>61081101</v>
      </c>
    </row>
    <row r="35" spans="1:16" x14ac:dyDescent="0.35">
      <c r="A35" t="str">
        <f>_xlfn.XLOOKUP(I35,Sheet3!A:A,Sheet3!B:B)</f>
        <v>AS</v>
      </c>
      <c r="B35">
        <v>26</v>
      </c>
      <c r="C35" s="11">
        <f t="shared" si="0"/>
        <v>33</v>
      </c>
      <c r="D35" t="str">
        <f>A35&amp;-B35&amp;-C35</f>
        <v>AS-26-33</v>
      </c>
      <c r="E35" t="s">
        <v>8</v>
      </c>
      <c r="F35" t="s">
        <v>8</v>
      </c>
      <c r="G35"/>
      <c r="H35"/>
      <c r="I35" t="s">
        <v>356</v>
      </c>
      <c r="J35">
        <v>80123102</v>
      </c>
      <c r="K35">
        <v>61061104</v>
      </c>
      <c r="L35" t="s">
        <v>387</v>
      </c>
      <c r="M35" t="s">
        <v>388</v>
      </c>
      <c r="N35" t="s">
        <v>262</v>
      </c>
      <c r="P35" t="s">
        <v>356</v>
      </c>
    </row>
    <row r="36" spans="1:16" x14ac:dyDescent="0.35">
      <c r="A36" t="str">
        <f>_xlfn.XLOOKUP(I36,Sheet3!A:A,Sheet3!B:B)</f>
        <v>BCA</v>
      </c>
      <c r="B36">
        <v>26</v>
      </c>
      <c r="C36">
        <v>1</v>
      </c>
      <c r="D36" t="str">
        <f>A36&amp;-B36&amp;-C36</f>
        <v>BCA-26-1</v>
      </c>
      <c r="E36" t="s">
        <v>308</v>
      </c>
      <c r="F36" s="5" t="s">
        <v>303</v>
      </c>
      <c r="I36" t="s">
        <v>449</v>
      </c>
      <c r="J36">
        <v>80349101</v>
      </c>
      <c r="K36">
        <v>61959994</v>
      </c>
      <c r="P36" t="s">
        <v>368</v>
      </c>
    </row>
    <row r="37" spans="1:16" x14ac:dyDescent="0.35">
      <c r="A37" t="str">
        <f>_xlfn.XLOOKUP(I37,Sheet3!A:A,Sheet3!B:B)</f>
        <v>BCA</v>
      </c>
      <c r="B37">
        <v>26</v>
      </c>
      <c r="C37">
        <f>C36+1</f>
        <v>2</v>
      </c>
      <c r="D37" t="str">
        <f>A37&amp;-B37&amp;-C37</f>
        <v>BCA-26-2</v>
      </c>
      <c r="E37" t="s">
        <v>308</v>
      </c>
      <c r="F37" s="5" t="s">
        <v>309</v>
      </c>
      <c r="I37" t="s">
        <v>449</v>
      </c>
      <c r="J37">
        <v>81349101</v>
      </c>
      <c r="K37">
        <v>52959901</v>
      </c>
      <c r="P37" t="s">
        <v>368</v>
      </c>
    </row>
    <row r="38" spans="1:16" x14ac:dyDescent="0.35">
      <c r="A38" t="str">
        <f>_xlfn.XLOOKUP(I38,Sheet3!A:A,Sheet3!B:B)</f>
        <v>BCA</v>
      </c>
      <c r="B38">
        <v>26</v>
      </c>
      <c r="C38">
        <f>C37+1</f>
        <v>3</v>
      </c>
      <c r="D38" t="str">
        <f>A38&amp;-B38&amp;-C38</f>
        <v>BCA-26-3</v>
      </c>
      <c r="E38" t="s">
        <v>308</v>
      </c>
      <c r="F38" s="5" t="s">
        <v>304</v>
      </c>
      <c r="I38" t="s">
        <v>449</v>
      </c>
      <c r="J38">
        <v>81349101</v>
      </c>
      <c r="K38">
        <v>52959901</v>
      </c>
      <c r="P38" t="s">
        <v>368</v>
      </c>
    </row>
    <row r="39" spans="1:16" x14ac:dyDescent="0.35">
      <c r="A39" t="str">
        <f>_xlfn.XLOOKUP(I39,Sheet3!A:A,Sheet3!B:B)</f>
        <v>BCA</v>
      </c>
      <c r="B39">
        <v>26</v>
      </c>
      <c r="C39">
        <f>C38+1</f>
        <v>4</v>
      </c>
      <c r="D39" t="str">
        <f>A39&amp;-B39&amp;-C39</f>
        <v>BCA-26-4</v>
      </c>
      <c r="E39" t="s">
        <v>308</v>
      </c>
      <c r="F39" s="5" t="s">
        <v>306</v>
      </c>
      <c r="I39" t="s">
        <v>449</v>
      </c>
      <c r="J39">
        <v>80349101</v>
      </c>
      <c r="K39">
        <v>61959994</v>
      </c>
      <c r="P39" t="s">
        <v>368</v>
      </c>
    </row>
    <row r="40" spans="1:16" x14ac:dyDescent="0.35">
      <c r="A40" t="str">
        <f>_xlfn.XLOOKUP(I40,Sheet3!A:A,Sheet3!B:B)</f>
        <v>BCA</v>
      </c>
      <c r="B40">
        <v>26</v>
      </c>
      <c r="C40">
        <f>C39+1</f>
        <v>5</v>
      </c>
      <c r="D40" t="str">
        <f>A40&amp;-B40&amp;-C40</f>
        <v>BCA-26-5</v>
      </c>
      <c r="E40" t="s">
        <v>308</v>
      </c>
      <c r="F40" s="5" t="s">
        <v>307</v>
      </c>
      <c r="I40" t="s">
        <v>449</v>
      </c>
      <c r="J40">
        <v>81222101</v>
      </c>
      <c r="K40">
        <v>61959994</v>
      </c>
      <c r="P40" t="s">
        <v>368</v>
      </c>
    </row>
    <row r="41" spans="1:16" x14ac:dyDescent="0.35">
      <c r="A41" t="str">
        <f>_xlfn.XLOOKUP(I41,Sheet3!A:A,Sheet3!B:B)</f>
        <v>BCA</v>
      </c>
      <c r="B41">
        <v>26</v>
      </c>
      <c r="C41">
        <f>C40+1</f>
        <v>6</v>
      </c>
      <c r="D41" t="str">
        <f>A41&amp;-B41&amp;-C41</f>
        <v>BCA-26-6</v>
      </c>
      <c r="E41" t="s">
        <v>308</v>
      </c>
      <c r="F41" s="5" t="s">
        <v>305</v>
      </c>
      <c r="I41" t="s">
        <v>449</v>
      </c>
      <c r="J41">
        <v>81349101</v>
      </c>
      <c r="K41">
        <v>52959901</v>
      </c>
      <c r="P41" t="s">
        <v>368</v>
      </c>
    </row>
    <row r="42" spans="1:16" x14ac:dyDescent="0.35">
      <c r="A42" t="str">
        <f>_xlfn.XLOOKUP(I42,Sheet3!A:A,Sheet3!B:B)</f>
        <v>CF</v>
      </c>
      <c r="B42">
        <v>26</v>
      </c>
      <c r="C42">
        <v>1</v>
      </c>
      <c r="D42" t="str">
        <f>A42&amp;-B42&amp;-C42</f>
        <v>CF-26-1</v>
      </c>
      <c r="E42" t="s">
        <v>319</v>
      </c>
      <c r="F42" s="5" t="s">
        <v>281</v>
      </c>
      <c r="I42" t="s">
        <v>355</v>
      </c>
      <c r="J42">
        <v>90134102</v>
      </c>
      <c r="K42">
        <v>52071103</v>
      </c>
      <c r="P42" t="s">
        <v>355</v>
      </c>
    </row>
    <row r="43" spans="1:16" x14ac:dyDescent="0.35">
      <c r="A43" t="str">
        <f>_xlfn.XLOOKUP(I43,Sheet3!A:A,Sheet3!B:B)</f>
        <v>CF</v>
      </c>
      <c r="B43">
        <v>26</v>
      </c>
      <c r="C43">
        <f>C42+1</f>
        <v>2</v>
      </c>
      <c r="D43" t="str">
        <f>A43&amp;-B43&amp;-C43</f>
        <v>CF-26-2</v>
      </c>
      <c r="E43" t="s">
        <v>319</v>
      </c>
      <c r="F43" s="5" t="s">
        <v>320</v>
      </c>
      <c r="I43" t="s">
        <v>355</v>
      </c>
      <c r="J43">
        <v>90134102</v>
      </c>
      <c r="K43">
        <v>52091103</v>
      </c>
      <c r="P43" t="s">
        <v>355</v>
      </c>
    </row>
    <row r="44" spans="1:16" x14ac:dyDescent="0.35">
      <c r="A44" t="str">
        <f>_xlfn.XLOOKUP(I44,Sheet3!A:A,Sheet3!B:B)</f>
        <v>CF</v>
      </c>
      <c r="B44">
        <v>26</v>
      </c>
      <c r="C44">
        <f>C43+1</f>
        <v>3</v>
      </c>
      <c r="D44" t="str">
        <f>A44&amp;-B44&amp;-C44</f>
        <v>CF-26-3</v>
      </c>
      <c r="E44" t="s">
        <v>268</v>
      </c>
      <c r="F44" s="4" t="s">
        <v>324</v>
      </c>
      <c r="G44" s="4" t="s">
        <v>223</v>
      </c>
      <c r="H44" s="4"/>
      <c r="I44" t="s">
        <v>355</v>
      </c>
      <c r="J44">
        <v>90111101</v>
      </c>
      <c r="K44">
        <v>52041495</v>
      </c>
      <c r="P44" t="s">
        <v>355</v>
      </c>
    </row>
    <row r="45" spans="1:16" x14ac:dyDescent="0.35">
      <c r="A45" t="str">
        <f>_xlfn.XLOOKUP(I45,Sheet3!A:A,Sheet3!B:B)</f>
        <v>CF</v>
      </c>
      <c r="B45">
        <v>26</v>
      </c>
      <c r="C45">
        <f>C44+1</f>
        <v>4</v>
      </c>
      <c r="D45" t="str">
        <f>A45&amp;-B45&amp;-C45</f>
        <v>CF-26-4</v>
      </c>
      <c r="E45" t="s">
        <v>329</v>
      </c>
      <c r="F45" s="5" t="s">
        <v>328</v>
      </c>
      <c r="G45" s="5" t="s">
        <v>222</v>
      </c>
      <c r="I45" t="s">
        <v>355</v>
      </c>
      <c r="J45">
        <v>80134102</v>
      </c>
      <c r="K45">
        <v>61071001</v>
      </c>
      <c r="P45" t="s">
        <v>355</v>
      </c>
    </row>
    <row r="46" spans="1:16" x14ac:dyDescent="0.35">
      <c r="A46" t="str">
        <f>_xlfn.XLOOKUP(I46,Sheet3!A:A,Sheet3!B:B)</f>
        <v>CF</v>
      </c>
      <c r="B46">
        <v>26</v>
      </c>
      <c r="C46">
        <f>C45+1</f>
        <v>5</v>
      </c>
      <c r="D46" t="str">
        <f>A46&amp;-B46&amp;-C46</f>
        <v>CF-26-5</v>
      </c>
      <c r="E46" t="s">
        <v>329</v>
      </c>
      <c r="F46" s="5" t="s">
        <v>328</v>
      </c>
      <c r="G46" s="5" t="s">
        <v>221</v>
      </c>
      <c r="I46" t="s">
        <v>355</v>
      </c>
      <c r="J46">
        <v>81134102</v>
      </c>
      <c r="K46">
        <v>61071001</v>
      </c>
      <c r="P46" t="s">
        <v>355</v>
      </c>
    </row>
    <row r="47" spans="1:16" x14ac:dyDescent="0.35">
      <c r="A47" t="str">
        <f>_xlfn.XLOOKUP(I47,Sheet3!A:A,Sheet3!B:B)</f>
        <v>CF</v>
      </c>
      <c r="B47">
        <v>26</v>
      </c>
      <c r="C47">
        <f>C46+1</f>
        <v>6</v>
      </c>
      <c r="D47" t="str">
        <f>A47&amp;-B47&amp;-C47</f>
        <v>CF-26-6</v>
      </c>
      <c r="E47" t="s">
        <v>329</v>
      </c>
      <c r="F47" s="5" t="s">
        <v>328</v>
      </c>
      <c r="G47" s="5" t="s">
        <v>223</v>
      </c>
      <c r="I47" t="s">
        <v>355</v>
      </c>
      <c r="J47">
        <v>90134102</v>
      </c>
      <c r="K47">
        <v>61071001</v>
      </c>
      <c r="P47" t="s">
        <v>355</v>
      </c>
    </row>
    <row r="48" spans="1:16" x14ac:dyDescent="0.35">
      <c r="A48" t="str">
        <f>_xlfn.XLOOKUP(I48,Sheet3!A:A,Sheet3!B:B)</f>
        <v>CF</v>
      </c>
      <c r="B48">
        <v>26</v>
      </c>
      <c r="C48">
        <f>C47+1</f>
        <v>7</v>
      </c>
      <c r="D48" t="str">
        <f>A48&amp;-B48&amp;-C48</f>
        <v>CF-26-7</v>
      </c>
      <c r="E48" t="s">
        <v>329</v>
      </c>
      <c r="F48" s="5" t="s">
        <v>330</v>
      </c>
      <c r="G48" s="5" t="s">
        <v>222</v>
      </c>
      <c r="I48" t="s">
        <v>355</v>
      </c>
      <c r="J48">
        <v>80134102</v>
      </c>
      <c r="K48">
        <v>61071006</v>
      </c>
      <c r="P48" t="s">
        <v>355</v>
      </c>
    </row>
    <row r="49" spans="1:16" x14ac:dyDescent="0.35">
      <c r="A49" t="str">
        <f>_xlfn.XLOOKUP(I49,Sheet3!A:A,Sheet3!B:B)</f>
        <v>CF</v>
      </c>
      <c r="B49">
        <v>26</v>
      </c>
      <c r="C49">
        <f>C48+1</f>
        <v>8</v>
      </c>
      <c r="D49" t="str">
        <f>A49&amp;-B49&amp;-C49</f>
        <v>CF-26-8</v>
      </c>
      <c r="E49" t="s">
        <v>329</v>
      </c>
      <c r="F49" s="5" t="s">
        <v>330</v>
      </c>
      <c r="G49" s="5" t="s">
        <v>221</v>
      </c>
      <c r="I49" t="s">
        <v>355</v>
      </c>
      <c r="J49">
        <v>81134102</v>
      </c>
      <c r="K49">
        <v>61071006</v>
      </c>
      <c r="P49" t="s">
        <v>355</v>
      </c>
    </row>
    <row r="50" spans="1:16" x14ac:dyDescent="0.35">
      <c r="A50" t="str">
        <f>_xlfn.XLOOKUP(I50,Sheet3!A:A,Sheet3!B:B)</f>
        <v>CF</v>
      </c>
      <c r="B50">
        <v>26</v>
      </c>
      <c r="C50">
        <f>C49+1</f>
        <v>9</v>
      </c>
      <c r="D50" t="str">
        <f>A50&amp;-B50&amp;-C50</f>
        <v>CF-26-9</v>
      </c>
      <c r="E50" t="s">
        <v>329</v>
      </c>
      <c r="F50" s="5" t="s">
        <v>330</v>
      </c>
      <c r="G50" s="5" t="s">
        <v>223</v>
      </c>
      <c r="I50" t="s">
        <v>355</v>
      </c>
      <c r="J50">
        <v>90134102</v>
      </c>
      <c r="K50">
        <v>61071006</v>
      </c>
      <c r="P50" t="s">
        <v>355</v>
      </c>
    </row>
    <row r="51" spans="1:16" ht="29" x14ac:dyDescent="0.35">
      <c r="A51" t="str">
        <f>_xlfn.XLOOKUP(I51,Sheet3!A:A,Sheet3!B:B)</f>
        <v>CF</v>
      </c>
      <c r="B51">
        <v>26</v>
      </c>
      <c r="C51">
        <f>C50+1</f>
        <v>10</v>
      </c>
      <c r="D51" t="str">
        <f>A51&amp;-B51&amp;-C51</f>
        <v>CF-26-10</v>
      </c>
      <c r="E51" t="s">
        <v>329</v>
      </c>
      <c r="F51" s="5" t="s">
        <v>331</v>
      </c>
      <c r="I51" t="s">
        <v>355</v>
      </c>
      <c r="J51">
        <v>90134102</v>
      </c>
      <c r="K51">
        <v>52071104</v>
      </c>
      <c r="P51" t="s">
        <v>355</v>
      </c>
    </row>
    <row r="52" spans="1:16" x14ac:dyDescent="0.35">
      <c r="A52" t="str">
        <f>_xlfn.XLOOKUP(I52,Sheet3!A:A,Sheet3!B:B)</f>
        <v>CF</v>
      </c>
      <c r="B52">
        <v>26</v>
      </c>
      <c r="C52">
        <f>C51+1</f>
        <v>11</v>
      </c>
      <c r="D52" t="str">
        <f>A52&amp;-B52&amp;-C52</f>
        <v>CF-26-11</v>
      </c>
      <c r="E52" t="s">
        <v>275</v>
      </c>
      <c r="F52" s="5" t="s">
        <v>276</v>
      </c>
      <c r="I52" t="s">
        <v>355</v>
      </c>
      <c r="J52">
        <v>90111101</v>
      </c>
      <c r="K52">
        <v>61101106</v>
      </c>
      <c r="P52" t="s">
        <v>355</v>
      </c>
    </row>
    <row r="53" spans="1:16" x14ac:dyDescent="0.35">
      <c r="A53" t="str">
        <f>_xlfn.XLOOKUP(I53,Sheet3!A:A,Sheet3!B:B)</f>
        <v>CF</v>
      </c>
      <c r="B53">
        <v>26</v>
      </c>
      <c r="C53">
        <f>C52+1</f>
        <v>12</v>
      </c>
      <c r="D53" t="str">
        <f>A53&amp;-B53&amp;-C53</f>
        <v>CF-26-12</v>
      </c>
      <c r="E53" t="s">
        <v>275</v>
      </c>
      <c r="F53" s="5" t="s">
        <v>277</v>
      </c>
      <c r="I53" t="s">
        <v>355</v>
      </c>
      <c r="J53">
        <v>90111101</v>
      </c>
      <c r="K53">
        <v>52101107</v>
      </c>
      <c r="P53" t="s">
        <v>355</v>
      </c>
    </row>
    <row r="54" spans="1:16" x14ac:dyDescent="0.35">
      <c r="A54" t="str">
        <f>_xlfn.XLOOKUP(I54,Sheet3!A:A,Sheet3!B:B)</f>
        <v>CF</v>
      </c>
      <c r="B54">
        <v>26</v>
      </c>
      <c r="C54">
        <f>C53+1</f>
        <v>13</v>
      </c>
      <c r="D54" t="str">
        <f>A54&amp;-B54&amp;-C54</f>
        <v>CF-26-13</v>
      </c>
      <c r="E54" t="s">
        <v>275</v>
      </c>
      <c r="F54" s="5" t="s">
        <v>273</v>
      </c>
      <c r="G54" s="5" t="s">
        <v>222</v>
      </c>
      <c r="I54" t="s">
        <v>355</v>
      </c>
      <c r="J54">
        <v>80111101</v>
      </c>
      <c r="K54">
        <v>52101101</v>
      </c>
      <c r="P54" t="s">
        <v>355</v>
      </c>
    </row>
    <row r="55" spans="1:16" x14ac:dyDescent="0.35">
      <c r="A55" t="str">
        <f>_xlfn.XLOOKUP(I55,Sheet3!A:A,Sheet3!B:B)</f>
        <v>CF</v>
      </c>
      <c r="B55">
        <v>26</v>
      </c>
      <c r="C55">
        <f>C54+1</f>
        <v>14</v>
      </c>
      <c r="D55" t="str">
        <f>A55&amp;-B55&amp;-C55</f>
        <v>CF-26-14</v>
      </c>
      <c r="E55" t="s">
        <v>275</v>
      </c>
      <c r="F55" s="5" t="s">
        <v>273</v>
      </c>
      <c r="G55" s="5" t="s">
        <v>221</v>
      </c>
      <c r="I55" t="s">
        <v>355</v>
      </c>
      <c r="J55">
        <v>81111101</v>
      </c>
      <c r="K55">
        <v>52101101</v>
      </c>
      <c r="P55" t="s">
        <v>355</v>
      </c>
    </row>
    <row r="56" spans="1:16" x14ac:dyDescent="0.35">
      <c r="A56" t="str">
        <f>_xlfn.XLOOKUP(I56,Sheet3!A:A,Sheet3!B:B)</f>
        <v>CF</v>
      </c>
      <c r="B56">
        <v>26</v>
      </c>
      <c r="C56">
        <f>C55+1</f>
        <v>15</v>
      </c>
      <c r="D56" t="str">
        <f>A56&amp;-B56&amp;-C56</f>
        <v>CF-26-15</v>
      </c>
      <c r="E56" t="s">
        <v>275</v>
      </c>
      <c r="F56" s="5" t="s">
        <v>274</v>
      </c>
      <c r="G56" s="5" t="s">
        <v>222</v>
      </c>
      <c r="I56" t="s">
        <v>355</v>
      </c>
      <c r="J56">
        <v>80111101</v>
      </c>
      <c r="K56">
        <v>52101105</v>
      </c>
      <c r="P56" t="s">
        <v>355</v>
      </c>
    </row>
    <row r="57" spans="1:16" x14ac:dyDescent="0.35">
      <c r="A57" t="str">
        <f>_xlfn.XLOOKUP(I57,Sheet3!A:A,Sheet3!B:B)</f>
        <v>CF</v>
      </c>
      <c r="B57">
        <v>26</v>
      </c>
      <c r="C57">
        <f>C56+1</f>
        <v>16</v>
      </c>
      <c r="D57" t="str">
        <f>A57&amp;-B57&amp;-C57</f>
        <v>CF-26-16</v>
      </c>
      <c r="E57" t="s">
        <v>275</v>
      </c>
      <c r="F57" s="5" t="s">
        <v>274</v>
      </c>
      <c r="G57" s="5" t="s">
        <v>221</v>
      </c>
      <c r="I57" t="s">
        <v>355</v>
      </c>
      <c r="J57">
        <v>81111101</v>
      </c>
      <c r="K57">
        <v>52101105</v>
      </c>
      <c r="P57" t="s">
        <v>355</v>
      </c>
    </row>
    <row r="58" spans="1:16" x14ac:dyDescent="0.35">
      <c r="A58" t="str">
        <f>_xlfn.XLOOKUP(I58,Sheet3!A:A,Sheet3!B:B)</f>
        <v>CF</v>
      </c>
      <c r="B58">
        <v>26</v>
      </c>
      <c r="C58">
        <f>C57+1</f>
        <v>17</v>
      </c>
      <c r="D58" t="str">
        <f>A58&amp;-B58&amp;-C58</f>
        <v>CF-26-17</v>
      </c>
      <c r="E58" s="5" t="s">
        <v>352</v>
      </c>
      <c r="F58" s="5" t="s">
        <v>351</v>
      </c>
      <c r="I58" t="s">
        <v>355</v>
      </c>
      <c r="J58">
        <v>81111101</v>
      </c>
      <c r="K58">
        <v>61959202</v>
      </c>
      <c r="P58" t="s">
        <v>355</v>
      </c>
    </row>
    <row r="59" spans="1:16" x14ac:dyDescent="0.35">
      <c r="A59" t="str">
        <f>_xlfn.XLOOKUP(I59,Sheet3!A:A,Sheet3!B:B)</f>
        <v>CF</v>
      </c>
      <c r="B59">
        <v>26</v>
      </c>
      <c r="C59">
        <f>C58+1</f>
        <v>18</v>
      </c>
      <c r="D59" t="str">
        <f>A59&amp;-B59&amp;-C59</f>
        <v>CF-26-18</v>
      </c>
      <c r="E59" s="5" t="s">
        <v>352</v>
      </c>
      <c r="F59" s="5" t="s">
        <v>353</v>
      </c>
      <c r="I59" t="s">
        <v>355</v>
      </c>
      <c r="J59">
        <v>81111101</v>
      </c>
      <c r="K59">
        <v>61959202</v>
      </c>
      <c r="P59" t="s">
        <v>355</v>
      </c>
    </row>
    <row r="60" spans="1:16" x14ac:dyDescent="0.35">
      <c r="A60" t="str">
        <f>_xlfn.XLOOKUP(I60,Sheet3!A:A,Sheet3!B:B)</f>
        <v>CF</v>
      </c>
      <c r="B60">
        <v>26</v>
      </c>
      <c r="C60">
        <f>C59+1</f>
        <v>19</v>
      </c>
      <c r="D60" t="str">
        <f>A60&amp;-B60&amp;-C60</f>
        <v>CF-26-19</v>
      </c>
      <c r="E60" t="s">
        <v>267</v>
      </c>
      <c r="F60" s="5" t="s">
        <v>344</v>
      </c>
      <c r="G60" s="5" t="s">
        <v>222</v>
      </c>
      <c r="I60" t="s">
        <v>355</v>
      </c>
      <c r="J60">
        <v>80111101</v>
      </c>
      <c r="K60">
        <v>61021304</v>
      </c>
      <c r="P60" t="s">
        <v>355</v>
      </c>
    </row>
    <row r="61" spans="1:16" x14ac:dyDescent="0.35">
      <c r="A61" t="str">
        <f>_xlfn.XLOOKUP(I61,Sheet3!A:A,Sheet3!B:B)</f>
        <v>CF</v>
      </c>
      <c r="B61">
        <v>26</v>
      </c>
      <c r="C61">
        <f>C60+1</f>
        <v>20</v>
      </c>
      <c r="D61" t="str">
        <f>A61&amp;-B61&amp;-C61</f>
        <v>CF-26-20</v>
      </c>
      <c r="E61" t="s">
        <v>267</v>
      </c>
      <c r="F61" s="5" t="s">
        <v>344</v>
      </c>
      <c r="G61" s="5" t="s">
        <v>221</v>
      </c>
      <c r="I61" t="s">
        <v>355</v>
      </c>
      <c r="J61">
        <v>81111101</v>
      </c>
      <c r="K61">
        <v>52121304</v>
      </c>
      <c r="P61" t="s">
        <v>355</v>
      </c>
    </row>
    <row r="62" spans="1:16" x14ac:dyDescent="0.35">
      <c r="A62" t="str">
        <f>_xlfn.XLOOKUP(I62,Sheet3!A:A,Sheet3!B:B)</f>
        <v>CF</v>
      </c>
      <c r="B62">
        <v>26</v>
      </c>
      <c r="C62">
        <f>C61+1</f>
        <v>21</v>
      </c>
      <c r="D62" t="str">
        <f>A62&amp;-B62&amp;-C62</f>
        <v>CF-26-21</v>
      </c>
      <c r="E62" t="s">
        <v>267</v>
      </c>
      <c r="F62" s="5" t="s">
        <v>344</v>
      </c>
      <c r="G62" s="5" t="s">
        <v>223</v>
      </c>
      <c r="I62" t="s">
        <v>355</v>
      </c>
      <c r="J62">
        <v>90111101</v>
      </c>
      <c r="K62">
        <v>52121304</v>
      </c>
      <c r="P62" t="s">
        <v>355</v>
      </c>
    </row>
    <row r="63" spans="1:16" x14ac:dyDescent="0.35">
      <c r="A63" t="str">
        <f>_xlfn.XLOOKUP(I63,Sheet3!A:A,Sheet3!B:B)</f>
        <v>CF</v>
      </c>
      <c r="B63">
        <v>26</v>
      </c>
      <c r="C63">
        <f>C62+1</f>
        <v>22</v>
      </c>
      <c r="D63" t="str">
        <f>A63&amp;-B63&amp;-C63</f>
        <v>CF-26-22</v>
      </c>
      <c r="E63" t="s">
        <v>249</v>
      </c>
      <c r="F63" t="s">
        <v>374</v>
      </c>
      <c r="G63" t="s">
        <v>221</v>
      </c>
      <c r="H63"/>
      <c r="I63" t="s">
        <v>355</v>
      </c>
      <c r="J63">
        <v>81134102</v>
      </c>
      <c r="K63">
        <v>52031103</v>
      </c>
      <c r="P63" t="s">
        <v>355</v>
      </c>
    </row>
    <row r="64" spans="1:16" x14ac:dyDescent="0.35">
      <c r="A64" t="str">
        <f>_xlfn.XLOOKUP(I64,Sheet3!A:A,Sheet3!B:B)</f>
        <v>CF</v>
      </c>
      <c r="B64">
        <v>26</v>
      </c>
      <c r="C64">
        <f>C63+1</f>
        <v>23</v>
      </c>
      <c r="D64" t="str">
        <f>A64&amp;-B64&amp;-C64</f>
        <v>CF-26-23</v>
      </c>
      <c r="E64" t="s">
        <v>315</v>
      </c>
      <c r="F64" s="5" t="s">
        <v>317</v>
      </c>
      <c r="I64" t="s">
        <v>355</v>
      </c>
      <c r="J64">
        <v>80134102</v>
      </c>
      <c r="K64">
        <v>61711101</v>
      </c>
      <c r="P64" t="s">
        <v>355</v>
      </c>
    </row>
    <row r="65" spans="1:16" x14ac:dyDescent="0.35">
      <c r="A65" t="str">
        <f>_xlfn.XLOOKUP(I65,Sheet3!A:A,Sheet3!B:B)</f>
        <v>CF</v>
      </c>
      <c r="B65">
        <v>26</v>
      </c>
      <c r="C65">
        <f>C64+1</f>
        <v>24</v>
      </c>
      <c r="D65" t="str">
        <f>A65&amp;-B65&amp;-C65</f>
        <v>CF-26-24</v>
      </c>
      <c r="E65" t="s">
        <v>315</v>
      </c>
      <c r="F65" s="5" t="s">
        <v>318</v>
      </c>
      <c r="I65" t="s">
        <v>355</v>
      </c>
      <c r="J65">
        <v>80134102</v>
      </c>
      <c r="K65">
        <v>61711101</v>
      </c>
      <c r="P65" t="s">
        <v>355</v>
      </c>
    </row>
    <row r="66" spans="1:16" x14ac:dyDescent="0.35">
      <c r="A66" t="str">
        <f>_xlfn.XLOOKUP(I66,Sheet3!A:A,Sheet3!B:B)</f>
        <v>CF</v>
      </c>
      <c r="B66">
        <v>26</v>
      </c>
      <c r="C66">
        <f>C65+1</f>
        <v>25</v>
      </c>
      <c r="D66" t="str">
        <f>A66&amp;-B66&amp;-C66</f>
        <v>CF-26-25</v>
      </c>
      <c r="E66" t="s">
        <v>315</v>
      </c>
      <c r="F66" s="5" t="s">
        <v>316</v>
      </c>
      <c r="I66" t="s">
        <v>355</v>
      </c>
      <c r="J66">
        <v>80134102</v>
      </c>
      <c r="K66">
        <v>61711101</v>
      </c>
      <c r="P66" t="s">
        <v>355</v>
      </c>
    </row>
    <row r="67" spans="1:16" x14ac:dyDescent="0.35">
      <c r="A67" t="str">
        <f>_xlfn.XLOOKUP(I67,Sheet3!A:A,Sheet3!B:B)</f>
        <v>CM</v>
      </c>
      <c r="B67">
        <v>26</v>
      </c>
      <c r="C67">
        <v>1</v>
      </c>
      <c r="D67" t="str">
        <f>A67&amp;-B67&amp;-C67</f>
        <v>CM-26-1</v>
      </c>
      <c r="E67" t="s">
        <v>246</v>
      </c>
      <c r="F67" s="4" t="s">
        <v>236</v>
      </c>
      <c r="G67" s="4"/>
      <c r="H67" s="4"/>
      <c r="I67" t="s">
        <v>166</v>
      </c>
      <c r="J67">
        <v>81314101</v>
      </c>
      <c r="K67">
        <v>52551201</v>
      </c>
      <c r="P67" t="s">
        <v>166</v>
      </c>
    </row>
    <row r="68" spans="1:16" x14ac:dyDescent="0.35">
      <c r="A68" t="str">
        <f>_xlfn.XLOOKUP(I68,Sheet3!A:A,Sheet3!B:B)</f>
        <v>CM</v>
      </c>
      <c r="B68">
        <v>26</v>
      </c>
      <c r="C68">
        <f>C67+1</f>
        <v>2</v>
      </c>
      <c r="D68" t="str">
        <f>A68&amp;-B68&amp;-C68</f>
        <v>CM-26-2</v>
      </c>
      <c r="E68" t="s">
        <v>246</v>
      </c>
      <c r="F68" s="4" t="s">
        <v>238</v>
      </c>
      <c r="G68" s="4"/>
      <c r="H68" s="4"/>
      <c r="I68" t="s">
        <v>166</v>
      </c>
      <c r="J68">
        <v>81314101</v>
      </c>
      <c r="K68">
        <v>52551201</v>
      </c>
      <c r="P68" t="s">
        <v>166</v>
      </c>
    </row>
    <row r="69" spans="1:16" x14ac:dyDescent="0.35">
      <c r="A69" t="str">
        <f>_xlfn.XLOOKUP(I69,Sheet3!A:A,Sheet3!B:B)</f>
        <v>CM</v>
      </c>
      <c r="B69">
        <v>26</v>
      </c>
      <c r="C69">
        <f>C68+1</f>
        <v>3</v>
      </c>
      <c r="D69" t="str">
        <f>A69&amp;-B69&amp;-C69</f>
        <v>CM-26-3</v>
      </c>
      <c r="E69" t="s">
        <v>246</v>
      </c>
      <c r="F69" s="4" t="s">
        <v>237</v>
      </c>
      <c r="G69" s="4"/>
      <c r="H69" s="4"/>
      <c r="I69" t="s">
        <v>166</v>
      </c>
      <c r="J69">
        <v>81314101</v>
      </c>
      <c r="K69">
        <v>52551201</v>
      </c>
      <c r="P69" t="s">
        <v>166</v>
      </c>
    </row>
    <row r="70" spans="1:16" x14ac:dyDescent="0.35">
      <c r="A70" t="str">
        <f>_xlfn.XLOOKUP(I70,Sheet3!A:A,Sheet3!B:B)</f>
        <v>CM</v>
      </c>
      <c r="B70">
        <v>26</v>
      </c>
      <c r="C70">
        <f>C69+1</f>
        <v>4</v>
      </c>
      <c r="D70" t="str">
        <f>A70&amp;-B70&amp;-C70</f>
        <v>CM-26-4</v>
      </c>
      <c r="E70" t="s">
        <v>248</v>
      </c>
      <c r="F70" s="4" t="s">
        <v>241</v>
      </c>
      <c r="G70" s="4"/>
      <c r="H70" s="4"/>
      <c r="I70" t="s">
        <v>166</v>
      </c>
      <c r="J70">
        <v>81314101</v>
      </c>
      <c r="K70">
        <v>52551201</v>
      </c>
      <c r="P70" t="s">
        <v>166</v>
      </c>
    </row>
    <row r="71" spans="1:16" x14ac:dyDescent="0.35">
      <c r="A71" t="str">
        <f>_xlfn.XLOOKUP(I71,Sheet3!A:A,Sheet3!B:B)</f>
        <v>CM</v>
      </c>
      <c r="B71">
        <v>26</v>
      </c>
      <c r="C71">
        <f>C70+1</f>
        <v>5</v>
      </c>
      <c r="D71" t="str">
        <f>A71&amp;-B71&amp;-C71</f>
        <v>CM-26-5</v>
      </c>
      <c r="E71" t="s">
        <v>248</v>
      </c>
      <c r="F71" s="4" t="s">
        <v>245</v>
      </c>
      <c r="G71" s="4"/>
      <c r="H71" s="4"/>
      <c r="I71" t="s">
        <v>166</v>
      </c>
      <c r="J71">
        <v>81314101</v>
      </c>
      <c r="K71">
        <v>52551201</v>
      </c>
      <c r="P71" t="s">
        <v>166</v>
      </c>
    </row>
    <row r="72" spans="1:16" x14ac:dyDescent="0.35">
      <c r="A72" t="str">
        <f>_xlfn.XLOOKUP(I72,Sheet3!A:A,Sheet3!B:B)</f>
        <v>CM</v>
      </c>
      <c r="B72">
        <v>26</v>
      </c>
      <c r="C72">
        <f>C71+1</f>
        <v>6</v>
      </c>
      <c r="D72" t="str">
        <f>A72&amp;-B72&amp;-C72</f>
        <v>CM-26-6</v>
      </c>
      <c r="E72" t="s">
        <v>248</v>
      </c>
      <c r="F72" s="4" t="s">
        <v>244</v>
      </c>
      <c r="G72" s="4"/>
      <c r="H72" s="4"/>
      <c r="I72" t="s">
        <v>166</v>
      </c>
      <c r="J72">
        <v>81314101</v>
      </c>
      <c r="K72">
        <v>52551201</v>
      </c>
      <c r="P72" t="s">
        <v>166</v>
      </c>
    </row>
    <row r="73" spans="1:16" x14ac:dyDescent="0.35">
      <c r="A73" t="str">
        <f>_xlfn.XLOOKUP(I73,Sheet3!A:A,Sheet3!B:B)</f>
        <v>CM</v>
      </c>
      <c r="B73">
        <v>26</v>
      </c>
      <c r="C73">
        <f>C72+1</f>
        <v>7</v>
      </c>
      <c r="D73" t="str">
        <f>A73&amp;-B73&amp;-C73</f>
        <v>CM-26-7</v>
      </c>
      <c r="E73" t="s">
        <v>247</v>
      </c>
      <c r="F73" s="4" t="s">
        <v>242</v>
      </c>
      <c r="G73" s="4"/>
      <c r="H73" s="4"/>
      <c r="I73" t="s">
        <v>166</v>
      </c>
      <c r="J73">
        <v>81314101</v>
      </c>
      <c r="K73">
        <v>52551201</v>
      </c>
      <c r="P73" t="s">
        <v>166</v>
      </c>
    </row>
    <row r="74" spans="1:16" x14ac:dyDescent="0.35">
      <c r="A74" t="str">
        <f>_xlfn.XLOOKUP(I74,Sheet3!A:A,Sheet3!B:B)</f>
        <v>CM</v>
      </c>
      <c r="B74">
        <v>26</v>
      </c>
      <c r="C74">
        <f>C73+1</f>
        <v>8</v>
      </c>
      <c r="D74" t="str">
        <f>A74&amp;-B74&amp;-C74</f>
        <v>CM-26-8</v>
      </c>
      <c r="E74" t="s">
        <v>247</v>
      </c>
      <c r="F74" s="4" t="s">
        <v>243</v>
      </c>
      <c r="G74" s="4"/>
      <c r="H74" s="4"/>
      <c r="I74" t="s">
        <v>166</v>
      </c>
      <c r="J74">
        <v>81314101</v>
      </c>
      <c r="K74">
        <v>52551201</v>
      </c>
      <c r="P74" t="s">
        <v>166</v>
      </c>
    </row>
    <row r="75" spans="1:16" x14ac:dyDescent="0.35">
      <c r="A75" t="str">
        <f>_xlfn.XLOOKUP(I75,Sheet3!A:A,Sheet3!B:B)</f>
        <v>CM</v>
      </c>
      <c r="B75">
        <v>26</v>
      </c>
      <c r="C75">
        <f>C74+1</f>
        <v>9</v>
      </c>
      <c r="D75" t="str">
        <f>A75&amp;-B75&amp;-C75</f>
        <v>CM-26-9</v>
      </c>
      <c r="E75" t="s">
        <v>247</v>
      </c>
      <c r="F75" s="4" t="s">
        <v>239</v>
      </c>
      <c r="G75" s="4"/>
      <c r="H75" s="4"/>
      <c r="I75" t="s">
        <v>166</v>
      </c>
      <c r="J75">
        <v>81314101</v>
      </c>
      <c r="K75">
        <v>52551201</v>
      </c>
      <c r="P75" t="s">
        <v>166</v>
      </c>
    </row>
    <row r="76" spans="1:16" x14ac:dyDescent="0.35">
      <c r="A76" t="str">
        <f>_xlfn.XLOOKUP(I76,Sheet3!A:A,Sheet3!B:B)</f>
        <v>EA</v>
      </c>
      <c r="B76">
        <v>26</v>
      </c>
      <c r="C76">
        <v>1</v>
      </c>
      <c r="D76" t="str">
        <f>A76&amp;-B76&amp;-C76</f>
        <v>EA-26-1</v>
      </c>
      <c r="E76" t="s">
        <v>358</v>
      </c>
      <c r="F76" s="5" t="s">
        <v>359</v>
      </c>
      <c r="G76" s="5" t="s">
        <v>222</v>
      </c>
      <c r="I76" t="s">
        <v>357</v>
      </c>
      <c r="J76">
        <v>80125101</v>
      </c>
      <c r="K76">
        <v>61959102</v>
      </c>
    </row>
    <row r="77" spans="1:16" x14ac:dyDescent="0.35">
      <c r="A77" t="str">
        <f>_xlfn.XLOOKUP(I77,Sheet3!A:A,Sheet3!B:B)</f>
        <v>EA</v>
      </c>
      <c r="B77">
        <v>26</v>
      </c>
      <c r="C77">
        <f>C76+1</f>
        <v>2</v>
      </c>
      <c r="D77" t="str">
        <f>A77&amp;-B77&amp;-C77</f>
        <v>EA-26-2</v>
      </c>
      <c r="E77" t="s">
        <v>358</v>
      </c>
      <c r="F77" s="5" t="s">
        <v>359</v>
      </c>
      <c r="G77" s="5" t="s">
        <v>221</v>
      </c>
      <c r="I77" t="s">
        <v>357</v>
      </c>
      <c r="J77">
        <v>81125101</v>
      </c>
      <c r="K77">
        <v>52959903</v>
      </c>
    </row>
    <row r="78" spans="1:16" x14ac:dyDescent="0.35">
      <c r="A78" t="str">
        <f>_xlfn.XLOOKUP(I78,Sheet3!A:A,Sheet3!B:B)</f>
        <v>EA</v>
      </c>
      <c r="B78">
        <v>26</v>
      </c>
      <c r="C78">
        <f>C77+1</f>
        <v>3</v>
      </c>
      <c r="D78" t="str">
        <f>A78&amp;-B78&amp;-C78</f>
        <v>EA-26-3</v>
      </c>
      <c r="E78" t="s">
        <v>358</v>
      </c>
      <c r="F78" s="5" t="s">
        <v>359</v>
      </c>
      <c r="G78" s="5" t="s">
        <v>223</v>
      </c>
      <c r="I78" t="s">
        <v>357</v>
      </c>
      <c r="J78">
        <v>90125101</v>
      </c>
      <c r="K78">
        <v>61959102</v>
      </c>
    </row>
    <row r="79" spans="1:16" ht="43.5" x14ac:dyDescent="0.35">
      <c r="A79" t="str">
        <f>_xlfn.XLOOKUP(I79,Sheet3!A:A,Sheet3!B:B)</f>
        <v>EA</v>
      </c>
      <c r="B79">
        <v>26</v>
      </c>
      <c r="C79">
        <f>C78+1</f>
        <v>4</v>
      </c>
      <c r="D79" t="str">
        <f>A79&amp;-B79&amp;-C79</f>
        <v>EA-26-4</v>
      </c>
      <c r="E79" t="s">
        <v>358</v>
      </c>
      <c r="F79" s="5" t="s">
        <v>360</v>
      </c>
      <c r="I79" t="s">
        <v>357</v>
      </c>
      <c r="J79">
        <v>80125101</v>
      </c>
      <c r="K79">
        <v>61959102</v>
      </c>
      <c r="P79" t="s">
        <v>357</v>
      </c>
    </row>
    <row r="80" spans="1:16" x14ac:dyDescent="0.35">
      <c r="A80" t="str">
        <f>_xlfn.XLOOKUP(I80,Sheet3!A:A,Sheet3!B:B)</f>
        <v>EA</v>
      </c>
      <c r="B80">
        <v>26</v>
      </c>
      <c r="C80">
        <f>C79+1</f>
        <v>5</v>
      </c>
      <c r="D80" t="str">
        <f>A80&amp;-B80&amp;-C80</f>
        <v>EA-26-5</v>
      </c>
      <c r="E80" t="s">
        <v>291</v>
      </c>
      <c r="F80" s="5" t="s">
        <v>361</v>
      </c>
      <c r="G80" s="5" t="s">
        <v>222</v>
      </c>
      <c r="I80" t="s">
        <v>357</v>
      </c>
      <c r="J80">
        <v>80125101</v>
      </c>
      <c r="K80">
        <v>61091101</v>
      </c>
    </row>
    <row r="81" spans="1:16" x14ac:dyDescent="0.35">
      <c r="A81" t="str">
        <f>_xlfn.XLOOKUP(I81,Sheet3!A:A,Sheet3!B:B)</f>
        <v>EA</v>
      </c>
      <c r="B81">
        <v>26</v>
      </c>
      <c r="C81">
        <f>C80+1</f>
        <v>6</v>
      </c>
      <c r="D81" t="str">
        <f>A81&amp;-B81&amp;-C81</f>
        <v>EA-26-6</v>
      </c>
      <c r="E81" t="s">
        <v>291</v>
      </c>
      <c r="F81" s="5" t="s">
        <v>361</v>
      </c>
      <c r="G81" s="5" t="s">
        <v>221</v>
      </c>
      <c r="I81" t="s">
        <v>357</v>
      </c>
      <c r="J81">
        <v>81125101</v>
      </c>
      <c r="K81">
        <v>52091101</v>
      </c>
    </row>
    <row r="82" spans="1:16" x14ac:dyDescent="0.35">
      <c r="A82" t="str">
        <f>_xlfn.XLOOKUP(I82,Sheet3!A:A,Sheet3!B:B)</f>
        <v>EA</v>
      </c>
      <c r="B82">
        <v>26</v>
      </c>
      <c r="C82">
        <f>C81+1</f>
        <v>7</v>
      </c>
      <c r="D82" t="str">
        <f>A82&amp;-B82&amp;-C82</f>
        <v>EA-26-7</v>
      </c>
      <c r="E82" t="s">
        <v>291</v>
      </c>
      <c r="F82" s="5" t="s">
        <v>361</v>
      </c>
      <c r="G82" s="5" t="s">
        <v>223</v>
      </c>
      <c r="I82" t="s">
        <v>357</v>
      </c>
      <c r="J82">
        <v>90125101</v>
      </c>
      <c r="K82">
        <v>61091101</v>
      </c>
    </row>
    <row r="83" spans="1:16" x14ac:dyDescent="0.35">
      <c r="A83" t="str">
        <f>_xlfn.XLOOKUP(I83,Sheet3!A:A,Sheet3!B:B)</f>
        <v>HR</v>
      </c>
      <c r="B83">
        <v>26</v>
      </c>
      <c r="C83">
        <v>1</v>
      </c>
      <c r="D83" t="str">
        <f>A83&amp;-B83&amp;-C83</f>
        <v>HR-26-1</v>
      </c>
      <c r="E83" t="s">
        <v>217</v>
      </c>
      <c r="F83" s="4" t="s">
        <v>96</v>
      </c>
      <c r="G83" s="4"/>
      <c r="H83" s="4"/>
      <c r="I83" t="s">
        <v>85</v>
      </c>
      <c r="J83">
        <v>81122101</v>
      </c>
      <c r="K83">
        <v>52121401</v>
      </c>
      <c r="P83" t="s">
        <v>85</v>
      </c>
    </row>
    <row r="84" spans="1:16" x14ac:dyDescent="0.35">
      <c r="A84" t="str">
        <f>_xlfn.XLOOKUP(I84,Sheet3!A:A,Sheet3!B:B)</f>
        <v>HR</v>
      </c>
      <c r="B84">
        <v>26</v>
      </c>
      <c r="C84">
        <f>C83+1</f>
        <v>2</v>
      </c>
      <c r="D84" t="str">
        <f>A84&amp;-B84&amp;-C84</f>
        <v>HR-26-2</v>
      </c>
      <c r="E84" t="s">
        <v>217</v>
      </c>
      <c r="F84" s="4" t="s">
        <v>107</v>
      </c>
      <c r="G84" s="4"/>
      <c r="H84" s="4"/>
      <c r="I84" t="s">
        <v>85</v>
      </c>
      <c r="J84">
        <v>81122101</v>
      </c>
      <c r="K84">
        <v>52121401</v>
      </c>
      <c r="P84" t="s">
        <v>85</v>
      </c>
    </row>
    <row r="85" spans="1:16" x14ac:dyDescent="0.35">
      <c r="A85" t="str">
        <f>_xlfn.XLOOKUP(I85,Sheet3!A:A,Sheet3!B:B)</f>
        <v>HR</v>
      </c>
      <c r="B85">
        <v>26</v>
      </c>
      <c r="C85">
        <f t="shared" ref="C85:C148" si="1">C84+1</f>
        <v>3</v>
      </c>
      <c r="D85" t="str">
        <f>A85&amp;-B85&amp;-C85</f>
        <v>HR-26-3</v>
      </c>
      <c r="E85" t="s">
        <v>217</v>
      </c>
      <c r="F85" s="4" t="s">
        <v>101</v>
      </c>
      <c r="G85" s="4"/>
      <c r="H85" s="4"/>
      <c r="I85" t="s">
        <v>85</v>
      </c>
      <c r="J85">
        <v>81122101</v>
      </c>
      <c r="K85">
        <v>52121401</v>
      </c>
      <c r="P85" t="s">
        <v>85</v>
      </c>
    </row>
    <row r="86" spans="1:16" x14ac:dyDescent="0.35">
      <c r="A86" t="str">
        <f>_xlfn.XLOOKUP(I86,Sheet3!A:A,Sheet3!B:B)</f>
        <v>HR</v>
      </c>
      <c r="B86">
        <v>26</v>
      </c>
      <c r="C86">
        <f t="shared" si="1"/>
        <v>4</v>
      </c>
      <c r="D86" t="str">
        <f>A86&amp;-B86&amp;-C86</f>
        <v>HR-26-4</v>
      </c>
      <c r="E86" t="s">
        <v>217</v>
      </c>
      <c r="F86" s="4" t="s">
        <v>99</v>
      </c>
      <c r="G86" s="4"/>
      <c r="H86" s="4"/>
      <c r="I86" t="s">
        <v>85</v>
      </c>
      <c r="J86">
        <v>81122101</v>
      </c>
      <c r="K86">
        <v>52121401</v>
      </c>
      <c r="P86" t="s">
        <v>85</v>
      </c>
    </row>
    <row r="87" spans="1:16" x14ac:dyDescent="0.35">
      <c r="A87" t="str">
        <f>_xlfn.XLOOKUP(I87,Sheet3!A:A,Sheet3!B:B)</f>
        <v>HR</v>
      </c>
      <c r="B87">
        <v>26</v>
      </c>
      <c r="C87">
        <f t="shared" si="1"/>
        <v>5</v>
      </c>
      <c r="D87" t="str">
        <f>A87&amp;-B87&amp;-C87</f>
        <v>HR-26-5</v>
      </c>
      <c r="E87" t="s">
        <v>217</v>
      </c>
      <c r="F87" s="4" t="s">
        <v>94</v>
      </c>
      <c r="G87" s="4"/>
      <c r="H87" s="4"/>
      <c r="I87" t="s">
        <v>85</v>
      </c>
      <c r="J87">
        <v>81122101</v>
      </c>
      <c r="K87">
        <v>52121401</v>
      </c>
      <c r="P87" t="s">
        <v>85</v>
      </c>
    </row>
    <row r="88" spans="1:16" x14ac:dyDescent="0.35">
      <c r="A88" t="str">
        <f>_xlfn.XLOOKUP(I88,Sheet3!A:A,Sheet3!B:B)</f>
        <v>HR</v>
      </c>
      <c r="B88">
        <v>26</v>
      </c>
      <c r="C88">
        <f t="shared" si="1"/>
        <v>6</v>
      </c>
      <c r="D88" t="str">
        <f>A88&amp;-B88&amp;-C88</f>
        <v>HR-26-6</v>
      </c>
      <c r="E88" t="s">
        <v>217</v>
      </c>
      <c r="F88" s="4" t="s">
        <v>106</v>
      </c>
      <c r="G88" s="4"/>
      <c r="H88" s="4"/>
      <c r="I88" t="s">
        <v>85</v>
      </c>
      <c r="J88">
        <v>81122101</v>
      </c>
      <c r="K88">
        <v>52121401</v>
      </c>
      <c r="P88" t="s">
        <v>85</v>
      </c>
    </row>
    <row r="89" spans="1:16" x14ac:dyDescent="0.35">
      <c r="A89" t="str">
        <f>_xlfn.XLOOKUP(I89,Sheet3!A:A,Sheet3!B:B)</f>
        <v>HR</v>
      </c>
      <c r="B89">
        <v>26</v>
      </c>
      <c r="C89">
        <f t="shared" si="1"/>
        <v>7</v>
      </c>
      <c r="D89" t="str">
        <f>A89&amp;-B89&amp;-C89</f>
        <v>HR-26-7</v>
      </c>
      <c r="E89" t="s">
        <v>217</v>
      </c>
      <c r="F89" s="4" t="s">
        <v>108</v>
      </c>
      <c r="G89" s="4"/>
      <c r="H89" s="4"/>
      <c r="I89" t="s">
        <v>85</v>
      </c>
      <c r="J89">
        <v>81122101</v>
      </c>
      <c r="K89">
        <v>52121401</v>
      </c>
      <c r="P89" t="s">
        <v>85</v>
      </c>
    </row>
    <row r="90" spans="1:16" x14ac:dyDescent="0.35">
      <c r="A90" t="str">
        <f>_xlfn.XLOOKUP(I90,Sheet3!A:A,Sheet3!B:B)</f>
        <v>HR</v>
      </c>
      <c r="B90">
        <v>26</v>
      </c>
      <c r="C90">
        <f t="shared" si="1"/>
        <v>8</v>
      </c>
      <c r="D90" t="str">
        <f>A90&amp;-B90&amp;-C90</f>
        <v>HR-26-8</v>
      </c>
      <c r="E90" t="s">
        <v>217</v>
      </c>
      <c r="F90" s="4" t="s">
        <v>104</v>
      </c>
      <c r="G90" s="4"/>
      <c r="H90" s="4"/>
      <c r="I90" t="s">
        <v>85</v>
      </c>
      <c r="J90">
        <v>81122101</v>
      </c>
      <c r="K90">
        <v>52121401</v>
      </c>
      <c r="P90" t="s">
        <v>85</v>
      </c>
    </row>
    <row r="91" spans="1:16" x14ac:dyDescent="0.35">
      <c r="A91" t="str">
        <f>_xlfn.XLOOKUP(I91,Sheet3!A:A,Sheet3!B:B)</f>
        <v>HR</v>
      </c>
      <c r="B91">
        <v>26</v>
      </c>
      <c r="C91">
        <f t="shared" si="1"/>
        <v>9</v>
      </c>
      <c r="D91" t="str">
        <f>A91&amp;-B91&amp;-C91</f>
        <v>HR-26-9</v>
      </c>
      <c r="E91" t="s">
        <v>217</v>
      </c>
      <c r="F91" t="s">
        <v>439</v>
      </c>
      <c r="G91"/>
      <c r="H91"/>
      <c r="I91" t="s">
        <v>85</v>
      </c>
      <c r="J91">
        <v>81122101</v>
      </c>
      <c r="K91">
        <v>52121401</v>
      </c>
      <c r="P91" t="s">
        <v>85</v>
      </c>
    </row>
    <row r="92" spans="1:16" x14ac:dyDescent="0.35">
      <c r="A92" t="str">
        <f>_xlfn.XLOOKUP(I92,Sheet3!A:A,Sheet3!B:B)</f>
        <v>HR</v>
      </c>
      <c r="B92">
        <v>26</v>
      </c>
      <c r="C92">
        <f t="shared" si="1"/>
        <v>10</v>
      </c>
      <c r="D92" t="str">
        <f>A92&amp;-B92&amp;-C92</f>
        <v>HR-26-10</v>
      </c>
      <c r="E92" t="s">
        <v>217</v>
      </c>
      <c r="F92" s="4" t="s">
        <v>111</v>
      </c>
      <c r="G92" s="4"/>
      <c r="H92" s="4"/>
      <c r="I92" t="s">
        <v>85</v>
      </c>
      <c r="J92">
        <v>81122101</v>
      </c>
      <c r="K92">
        <v>52121401</v>
      </c>
      <c r="P92" t="s">
        <v>85</v>
      </c>
    </row>
    <row r="93" spans="1:16" x14ac:dyDescent="0.35">
      <c r="A93" t="str">
        <f>_xlfn.XLOOKUP(I93,Sheet3!A:A,Sheet3!B:B)</f>
        <v>HR</v>
      </c>
      <c r="B93">
        <v>26</v>
      </c>
      <c r="C93">
        <f t="shared" si="1"/>
        <v>11</v>
      </c>
      <c r="D93" t="str">
        <f>A93&amp;-B93&amp;-C93</f>
        <v>HR-26-11</v>
      </c>
      <c r="E93" t="s">
        <v>217</v>
      </c>
      <c r="F93" s="4" t="s">
        <v>105</v>
      </c>
      <c r="G93" s="4"/>
      <c r="H93" s="4"/>
      <c r="I93" t="s">
        <v>85</v>
      </c>
      <c r="J93">
        <v>81122101</v>
      </c>
      <c r="K93">
        <v>52121401</v>
      </c>
      <c r="P93" t="s">
        <v>85</v>
      </c>
    </row>
    <row r="94" spans="1:16" x14ac:dyDescent="0.35">
      <c r="A94" t="str">
        <f>_xlfn.XLOOKUP(I94,Sheet3!A:A,Sheet3!B:B)</f>
        <v>HR</v>
      </c>
      <c r="B94">
        <v>26</v>
      </c>
      <c r="C94">
        <f t="shared" si="1"/>
        <v>12</v>
      </c>
      <c r="D94" t="str">
        <f>A94&amp;-B94&amp;-C94</f>
        <v>HR-26-12</v>
      </c>
      <c r="E94" t="s">
        <v>217</v>
      </c>
      <c r="F94" s="4" t="s">
        <v>97</v>
      </c>
      <c r="G94" s="4"/>
      <c r="H94" s="4"/>
      <c r="I94" t="s">
        <v>85</v>
      </c>
      <c r="J94">
        <v>81122101</v>
      </c>
      <c r="K94">
        <v>52121401</v>
      </c>
      <c r="P94" t="s">
        <v>85</v>
      </c>
    </row>
    <row r="95" spans="1:16" x14ac:dyDescent="0.35">
      <c r="A95" t="str">
        <f>_xlfn.XLOOKUP(I95,Sheet3!A:A,Sheet3!B:B)</f>
        <v>HR</v>
      </c>
      <c r="B95">
        <v>26</v>
      </c>
      <c r="C95">
        <f t="shared" si="1"/>
        <v>13</v>
      </c>
      <c r="D95" t="str">
        <f>A95&amp;-B95&amp;-C95</f>
        <v>HR-26-13</v>
      </c>
      <c r="E95" t="s">
        <v>217</v>
      </c>
      <c r="F95" s="4" t="s">
        <v>109</v>
      </c>
      <c r="G95" s="4"/>
      <c r="H95" s="4"/>
      <c r="I95" t="s">
        <v>85</v>
      </c>
      <c r="J95">
        <v>81122101</v>
      </c>
      <c r="K95">
        <v>52121401</v>
      </c>
      <c r="P95" t="s">
        <v>85</v>
      </c>
    </row>
    <row r="96" spans="1:16" x14ac:dyDescent="0.35">
      <c r="A96" t="str">
        <f>_xlfn.XLOOKUP(I96,Sheet3!A:A,Sheet3!B:B)</f>
        <v>HR</v>
      </c>
      <c r="B96">
        <v>26</v>
      </c>
      <c r="C96">
        <f t="shared" si="1"/>
        <v>14</v>
      </c>
      <c r="D96" t="str">
        <f>A96&amp;-B96&amp;-C96</f>
        <v>HR-26-14</v>
      </c>
      <c r="E96" t="s">
        <v>217</v>
      </c>
      <c r="F96" s="4" t="s">
        <v>110</v>
      </c>
      <c r="G96" s="4"/>
      <c r="H96" s="4"/>
      <c r="I96" t="s">
        <v>85</v>
      </c>
      <c r="J96">
        <v>81122101</v>
      </c>
      <c r="K96">
        <v>52121401</v>
      </c>
      <c r="P96" t="s">
        <v>85</v>
      </c>
    </row>
    <row r="97" spans="1:16" x14ac:dyDescent="0.35">
      <c r="A97" t="str">
        <f>_xlfn.XLOOKUP(I97,Sheet3!A:A,Sheet3!B:B)</f>
        <v>HR</v>
      </c>
      <c r="B97">
        <v>26</v>
      </c>
      <c r="C97">
        <f t="shared" si="1"/>
        <v>15</v>
      </c>
      <c r="D97" t="str">
        <f>A97&amp;-B97&amp;-C97</f>
        <v>HR-26-15</v>
      </c>
      <c r="E97" t="s">
        <v>217</v>
      </c>
      <c r="F97" s="4" t="s">
        <v>117</v>
      </c>
      <c r="G97" s="4"/>
      <c r="H97" s="4"/>
      <c r="I97" t="s">
        <v>85</v>
      </c>
      <c r="J97">
        <v>81122101</v>
      </c>
      <c r="K97">
        <v>52121402</v>
      </c>
      <c r="P97" t="s">
        <v>85</v>
      </c>
    </row>
    <row r="98" spans="1:16" x14ac:dyDescent="0.35">
      <c r="A98" t="str">
        <f>_xlfn.XLOOKUP(I98,Sheet3!A:A,Sheet3!B:B)</f>
        <v>HR</v>
      </c>
      <c r="B98">
        <v>26</v>
      </c>
      <c r="C98">
        <f t="shared" si="1"/>
        <v>16</v>
      </c>
      <c r="D98" t="str">
        <f>A98&amp;-B98&amp;-C98</f>
        <v>HR-26-16</v>
      </c>
      <c r="E98" t="s">
        <v>217</v>
      </c>
      <c r="F98" s="4" t="s">
        <v>98</v>
      </c>
      <c r="G98" s="4"/>
      <c r="H98" s="4"/>
      <c r="I98" t="s">
        <v>85</v>
      </c>
      <c r="J98">
        <v>81122101</v>
      </c>
      <c r="K98">
        <v>52121401</v>
      </c>
      <c r="P98" t="s">
        <v>85</v>
      </c>
    </row>
    <row r="99" spans="1:16" x14ac:dyDescent="0.35">
      <c r="A99" t="str">
        <f>_xlfn.XLOOKUP(I99,Sheet3!A:A,Sheet3!B:B)</f>
        <v>HR</v>
      </c>
      <c r="B99">
        <v>26</v>
      </c>
      <c r="C99">
        <f t="shared" si="1"/>
        <v>17</v>
      </c>
      <c r="D99" t="str">
        <f>A99&amp;-B99&amp;-C99</f>
        <v>HR-26-17</v>
      </c>
      <c r="E99" t="s">
        <v>217</v>
      </c>
      <c r="F99" s="4" t="s">
        <v>95</v>
      </c>
      <c r="G99" s="4"/>
      <c r="H99" s="4"/>
      <c r="I99" t="s">
        <v>85</v>
      </c>
      <c r="J99">
        <v>81122101</v>
      </c>
      <c r="K99">
        <v>52121401</v>
      </c>
      <c r="P99" t="s">
        <v>85</v>
      </c>
    </row>
    <row r="100" spans="1:16" x14ac:dyDescent="0.35">
      <c r="A100" t="str">
        <f>_xlfn.XLOOKUP(I100,Sheet3!A:A,Sheet3!B:B)</f>
        <v>HR</v>
      </c>
      <c r="B100">
        <v>26</v>
      </c>
      <c r="C100">
        <f t="shared" si="1"/>
        <v>18</v>
      </c>
      <c r="D100" t="str">
        <f>A100&amp;-B100&amp;-C100</f>
        <v>HR-26-18</v>
      </c>
      <c r="E100" t="s">
        <v>217</v>
      </c>
      <c r="F100" s="4" t="s">
        <v>102</v>
      </c>
      <c r="G100" s="4"/>
      <c r="H100" s="4"/>
      <c r="I100" t="s">
        <v>85</v>
      </c>
      <c r="J100">
        <v>81122101</v>
      </c>
      <c r="K100">
        <v>52121401</v>
      </c>
      <c r="P100" t="s">
        <v>85</v>
      </c>
    </row>
    <row r="101" spans="1:16" x14ac:dyDescent="0.35">
      <c r="A101" t="str">
        <f>_xlfn.XLOOKUP(I101,Sheet3!A:A,Sheet3!B:B)</f>
        <v>HR</v>
      </c>
      <c r="B101">
        <v>26</v>
      </c>
      <c r="C101">
        <f t="shared" si="1"/>
        <v>19</v>
      </c>
      <c r="D101" t="str">
        <f>A101&amp;-B101&amp;-C101</f>
        <v>HR-26-19</v>
      </c>
      <c r="E101" t="s">
        <v>217</v>
      </c>
      <c r="F101" s="4" t="s">
        <v>103</v>
      </c>
      <c r="G101" s="4"/>
      <c r="H101" s="4"/>
      <c r="I101" t="s">
        <v>85</v>
      </c>
      <c r="J101">
        <v>81122101</v>
      </c>
      <c r="K101">
        <v>52121401</v>
      </c>
      <c r="P101" t="s">
        <v>85</v>
      </c>
    </row>
    <row r="102" spans="1:16" x14ac:dyDescent="0.35">
      <c r="A102" t="str">
        <f>_xlfn.XLOOKUP(I102,Sheet3!A:A,Sheet3!B:B)</f>
        <v>HR</v>
      </c>
      <c r="B102">
        <v>26</v>
      </c>
      <c r="C102">
        <f t="shared" si="1"/>
        <v>20</v>
      </c>
      <c r="D102" t="str">
        <f>A102&amp;-B102&amp;-C102</f>
        <v>HR-26-20</v>
      </c>
      <c r="E102" t="s">
        <v>268</v>
      </c>
      <c r="F102" s="4" t="s">
        <v>153</v>
      </c>
      <c r="G102" s="4"/>
      <c r="H102" s="4"/>
      <c r="I102" t="s">
        <v>85</v>
      </c>
      <c r="J102">
        <v>90122101</v>
      </c>
      <c r="K102">
        <v>52041499</v>
      </c>
      <c r="P102" t="s">
        <v>85</v>
      </c>
    </row>
    <row r="103" spans="1:16" x14ac:dyDescent="0.35">
      <c r="A103" t="str">
        <f>_xlfn.XLOOKUP(I103,Sheet3!A:A,Sheet3!B:B)</f>
        <v>HR</v>
      </c>
      <c r="B103">
        <v>26</v>
      </c>
      <c r="C103">
        <f t="shared" si="1"/>
        <v>21</v>
      </c>
      <c r="D103" t="str">
        <f>A103&amp;-B103&amp;-C103</f>
        <v>HR-26-21</v>
      </c>
      <c r="E103" t="s">
        <v>268</v>
      </c>
      <c r="F103" s="4" t="s">
        <v>154</v>
      </c>
      <c r="G103" s="4"/>
      <c r="H103" s="4"/>
      <c r="I103" t="s">
        <v>85</v>
      </c>
      <c r="J103">
        <v>90122101</v>
      </c>
      <c r="K103">
        <v>52041499</v>
      </c>
      <c r="P103" t="s">
        <v>85</v>
      </c>
    </row>
    <row r="104" spans="1:16" x14ac:dyDescent="0.35">
      <c r="A104" t="str">
        <f>_xlfn.XLOOKUP(I104,Sheet3!A:A,Sheet3!B:B)</f>
        <v>HR</v>
      </c>
      <c r="B104">
        <v>26</v>
      </c>
      <c r="C104">
        <f t="shared" si="1"/>
        <v>22</v>
      </c>
      <c r="D104" t="str">
        <f>A104&amp;-B104&amp;-C104</f>
        <v>HR-26-22</v>
      </c>
      <c r="E104" t="s">
        <v>270</v>
      </c>
      <c r="F104" s="4" t="s">
        <v>82</v>
      </c>
      <c r="G104" s="4"/>
      <c r="H104" s="4"/>
      <c r="I104" t="s">
        <v>85</v>
      </c>
      <c r="J104">
        <v>81122101</v>
      </c>
      <c r="K104">
        <v>52121402</v>
      </c>
      <c r="L104" t="s">
        <v>399</v>
      </c>
      <c r="M104" t="s">
        <v>400</v>
      </c>
      <c r="N104" t="s">
        <v>261</v>
      </c>
      <c r="P104" t="s">
        <v>85</v>
      </c>
    </row>
    <row r="105" spans="1:16" x14ac:dyDescent="0.35">
      <c r="A105" t="str">
        <f>_xlfn.XLOOKUP(I105,Sheet3!A:A,Sheet3!B:B)</f>
        <v>HR</v>
      </c>
      <c r="B105">
        <v>26</v>
      </c>
      <c r="C105">
        <f t="shared" si="1"/>
        <v>23</v>
      </c>
      <c r="D105" t="str">
        <f>A105&amp;-B105&amp;-C105</f>
        <v>HR-26-23</v>
      </c>
      <c r="E105" t="s">
        <v>270</v>
      </c>
      <c r="F105" s="4" t="s">
        <v>84</v>
      </c>
      <c r="G105" s="4"/>
      <c r="H105" s="4"/>
      <c r="I105" t="s">
        <v>85</v>
      </c>
      <c r="J105">
        <v>81122101</v>
      </c>
      <c r="K105">
        <v>52121402</v>
      </c>
      <c r="P105" t="s">
        <v>85</v>
      </c>
    </row>
    <row r="106" spans="1:16" x14ac:dyDescent="0.35">
      <c r="A106" t="str">
        <f>_xlfn.XLOOKUP(I106,Sheet3!A:A,Sheet3!B:B)</f>
        <v>HR</v>
      </c>
      <c r="B106">
        <v>26</v>
      </c>
      <c r="C106">
        <f t="shared" si="1"/>
        <v>24</v>
      </c>
      <c r="D106" t="str">
        <f>A106&amp;-B106&amp;-C106</f>
        <v>HR-26-24</v>
      </c>
      <c r="E106" t="s">
        <v>270</v>
      </c>
      <c r="F106" s="4" t="s">
        <v>398</v>
      </c>
      <c r="G106" s="4"/>
      <c r="H106" s="4"/>
      <c r="I106" t="s">
        <v>85</v>
      </c>
      <c r="J106">
        <v>81122101</v>
      </c>
      <c r="K106">
        <v>52121402</v>
      </c>
      <c r="L106" t="s">
        <v>399</v>
      </c>
      <c r="M106" t="s">
        <v>400</v>
      </c>
      <c r="N106" t="s">
        <v>411</v>
      </c>
      <c r="P106" t="s">
        <v>85</v>
      </c>
    </row>
    <row r="107" spans="1:16" x14ac:dyDescent="0.35">
      <c r="A107" t="str">
        <f>_xlfn.XLOOKUP(I107,Sheet3!A:A,Sheet3!B:B)</f>
        <v>HR</v>
      </c>
      <c r="B107">
        <v>26</v>
      </c>
      <c r="C107">
        <f t="shared" si="1"/>
        <v>25</v>
      </c>
      <c r="D107" t="str">
        <f>A107&amp;-B107&amp;-C107</f>
        <v>HR-26-25</v>
      </c>
      <c r="E107" t="s">
        <v>270</v>
      </c>
      <c r="F107" s="4" t="s">
        <v>122</v>
      </c>
      <c r="G107" s="4"/>
      <c r="H107" s="4"/>
      <c r="I107" t="s">
        <v>85</v>
      </c>
      <c r="J107">
        <v>81122101</v>
      </c>
      <c r="K107">
        <v>52121402</v>
      </c>
      <c r="L107" t="s">
        <v>407</v>
      </c>
      <c r="M107" t="s">
        <v>408</v>
      </c>
      <c r="N107" t="s">
        <v>411</v>
      </c>
      <c r="P107" t="s">
        <v>85</v>
      </c>
    </row>
    <row r="108" spans="1:16" x14ac:dyDescent="0.35">
      <c r="A108" t="str">
        <f>_xlfn.XLOOKUP(I108,Sheet3!A:A,Sheet3!B:B)</f>
        <v>HR</v>
      </c>
      <c r="B108">
        <v>26</v>
      </c>
      <c r="C108">
        <f t="shared" si="1"/>
        <v>26</v>
      </c>
      <c r="D108" t="str">
        <f>A108&amp;-B108&amp;-C108</f>
        <v>HR-26-26</v>
      </c>
      <c r="E108" t="s">
        <v>270</v>
      </c>
      <c r="F108" s="4" t="s">
        <v>100</v>
      </c>
      <c r="G108" s="4" t="s">
        <v>223</v>
      </c>
      <c r="H108" s="4"/>
      <c r="I108" t="s">
        <v>85</v>
      </c>
      <c r="J108">
        <v>90122101</v>
      </c>
      <c r="K108">
        <v>52121310</v>
      </c>
      <c r="L108" t="s">
        <v>399</v>
      </c>
      <c r="M108" t="s">
        <v>400</v>
      </c>
      <c r="N108" t="s">
        <v>410</v>
      </c>
      <c r="P108" t="s">
        <v>85</v>
      </c>
    </row>
    <row r="109" spans="1:16" x14ac:dyDescent="0.35">
      <c r="A109" t="str">
        <f>_xlfn.XLOOKUP(I109,Sheet3!A:A,Sheet3!B:B)</f>
        <v>HR</v>
      </c>
      <c r="B109">
        <v>26</v>
      </c>
      <c r="C109">
        <f t="shared" si="1"/>
        <v>27</v>
      </c>
      <c r="D109" t="str">
        <f>A109&amp;-B109&amp;-C109</f>
        <v>HR-26-27</v>
      </c>
      <c r="E109" t="s">
        <v>270</v>
      </c>
      <c r="F109" s="4" t="s">
        <v>100</v>
      </c>
      <c r="G109" s="4" t="s">
        <v>221</v>
      </c>
      <c r="H109" s="4"/>
      <c r="I109" t="s">
        <v>85</v>
      </c>
      <c r="J109">
        <v>81122101</v>
      </c>
      <c r="K109">
        <v>52121310</v>
      </c>
      <c r="L109" t="s">
        <v>399</v>
      </c>
      <c r="M109" t="s">
        <v>400</v>
      </c>
      <c r="N109" t="s">
        <v>410</v>
      </c>
      <c r="P109" t="s">
        <v>85</v>
      </c>
    </row>
    <row r="110" spans="1:16" x14ac:dyDescent="0.35">
      <c r="A110" t="str">
        <f>_xlfn.XLOOKUP(I110,Sheet3!A:A,Sheet3!B:B)</f>
        <v>HR</v>
      </c>
      <c r="B110">
        <v>26</v>
      </c>
      <c r="C110">
        <f t="shared" si="1"/>
        <v>28</v>
      </c>
      <c r="D110" t="str">
        <f>A110&amp;-B110&amp;-C110</f>
        <v>HR-26-28</v>
      </c>
      <c r="E110" t="s">
        <v>270</v>
      </c>
      <c r="F110" s="4" t="s">
        <v>100</v>
      </c>
      <c r="G110" s="4" t="s">
        <v>222</v>
      </c>
      <c r="H110" s="4"/>
      <c r="I110" t="s">
        <v>85</v>
      </c>
      <c r="J110">
        <v>80122101</v>
      </c>
      <c r="K110">
        <v>61021311</v>
      </c>
      <c r="L110" t="s">
        <v>399</v>
      </c>
      <c r="M110" t="s">
        <v>400</v>
      </c>
      <c r="N110" t="s">
        <v>410</v>
      </c>
      <c r="P110" t="s">
        <v>85</v>
      </c>
    </row>
    <row r="111" spans="1:16" x14ac:dyDescent="0.35">
      <c r="A111" t="str">
        <f>_xlfn.XLOOKUP(I111,Sheet3!A:A,Sheet3!B:B)</f>
        <v>HR</v>
      </c>
      <c r="B111">
        <v>26</v>
      </c>
      <c r="C111">
        <f t="shared" si="1"/>
        <v>29</v>
      </c>
      <c r="D111" t="str">
        <f>A111&amp;-B111&amp;-C111</f>
        <v>HR-26-29</v>
      </c>
      <c r="E111" t="s">
        <v>270</v>
      </c>
      <c r="F111" t="s">
        <v>412</v>
      </c>
      <c r="G111"/>
      <c r="H111"/>
      <c r="I111" t="s">
        <v>85</v>
      </c>
      <c r="J111">
        <v>81122101</v>
      </c>
      <c r="K111">
        <v>52121402</v>
      </c>
      <c r="L111" t="s">
        <v>403</v>
      </c>
      <c r="M111" t="s">
        <v>404</v>
      </c>
      <c r="N111" t="s">
        <v>261</v>
      </c>
      <c r="P111" t="s">
        <v>85</v>
      </c>
    </row>
    <row r="112" spans="1:16" x14ac:dyDescent="0.35">
      <c r="A112" t="str">
        <f>_xlfn.XLOOKUP(I112,Sheet3!A:A,Sheet3!B:B)</f>
        <v>HR</v>
      </c>
      <c r="B112">
        <v>26</v>
      </c>
      <c r="C112">
        <f t="shared" si="1"/>
        <v>30</v>
      </c>
      <c r="D112" t="str">
        <f>A112&amp;-B112&amp;-C112</f>
        <v>HR-26-30</v>
      </c>
      <c r="E112" t="s">
        <v>270</v>
      </c>
      <c r="F112" s="4" t="s">
        <v>391</v>
      </c>
      <c r="G112" s="4"/>
      <c r="H112" s="4"/>
      <c r="I112" t="s">
        <v>85</v>
      </c>
      <c r="J112">
        <v>81122101</v>
      </c>
      <c r="K112">
        <v>52121402</v>
      </c>
      <c r="L112" t="s">
        <v>392</v>
      </c>
      <c r="M112" t="s">
        <v>393</v>
      </c>
      <c r="N112" t="s">
        <v>261</v>
      </c>
      <c r="P112" t="s">
        <v>85</v>
      </c>
    </row>
    <row r="113" spans="1:16" x14ac:dyDescent="0.35">
      <c r="A113" t="str">
        <f>_xlfn.XLOOKUP(I113,Sheet3!A:A,Sheet3!B:B)</f>
        <v>HR</v>
      </c>
      <c r="B113">
        <v>26</v>
      </c>
      <c r="C113">
        <f t="shared" si="1"/>
        <v>31</v>
      </c>
      <c r="D113" t="str">
        <f>A113&amp;-B113&amp;-C113</f>
        <v>HR-26-31</v>
      </c>
      <c r="E113" t="s">
        <v>270</v>
      </c>
      <c r="F113" s="4" t="s">
        <v>135</v>
      </c>
      <c r="G113" s="4"/>
      <c r="H113" s="4"/>
      <c r="I113" t="s">
        <v>85</v>
      </c>
      <c r="J113">
        <v>81122101</v>
      </c>
      <c r="K113">
        <v>52121315</v>
      </c>
      <c r="L113" t="s">
        <v>389</v>
      </c>
      <c r="M113" t="s">
        <v>390</v>
      </c>
      <c r="N113" t="s">
        <v>261</v>
      </c>
      <c r="P113" t="s">
        <v>85</v>
      </c>
    </row>
    <row r="114" spans="1:16" x14ac:dyDescent="0.35">
      <c r="A114" t="str">
        <f>_xlfn.XLOOKUP(I114,Sheet3!A:A,Sheet3!B:B)</f>
        <v>HR</v>
      </c>
      <c r="B114">
        <v>26</v>
      </c>
      <c r="C114">
        <f t="shared" si="1"/>
        <v>32</v>
      </c>
      <c r="D114" t="str">
        <f>A114&amp;-B114&amp;-C114</f>
        <v>HR-26-32</v>
      </c>
      <c r="E114" t="s">
        <v>270</v>
      </c>
      <c r="F114" s="4" t="s">
        <v>112</v>
      </c>
      <c r="G114" s="4"/>
      <c r="H114" s="4"/>
      <c r="I114" t="s">
        <v>85</v>
      </c>
      <c r="J114">
        <v>81122101</v>
      </c>
      <c r="K114">
        <v>52121402</v>
      </c>
      <c r="L114" t="s">
        <v>399</v>
      </c>
      <c r="M114" t="s">
        <v>400</v>
      </c>
      <c r="N114" t="s">
        <v>261</v>
      </c>
      <c r="P114" t="s">
        <v>85</v>
      </c>
    </row>
    <row r="115" spans="1:16" x14ac:dyDescent="0.35">
      <c r="A115" t="str">
        <f>_xlfn.XLOOKUP(I115,Sheet3!A:A,Sheet3!B:B)</f>
        <v>HR</v>
      </c>
      <c r="B115">
        <v>26</v>
      </c>
      <c r="C115">
        <f t="shared" si="1"/>
        <v>33</v>
      </c>
      <c r="D115" t="str">
        <f>A115&amp;-B115&amp;-C115</f>
        <v>HR-26-33</v>
      </c>
      <c r="E115" t="s">
        <v>270</v>
      </c>
      <c r="F115" s="4" t="s">
        <v>119</v>
      </c>
      <c r="G115" s="4"/>
      <c r="H115" s="4"/>
      <c r="I115" t="s">
        <v>85</v>
      </c>
      <c r="J115">
        <v>81122101</v>
      </c>
      <c r="K115">
        <v>52121402</v>
      </c>
      <c r="L115" t="s">
        <v>405</v>
      </c>
      <c r="M115" t="s">
        <v>406</v>
      </c>
      <c r="N115" t="s">
        <v>411</v>
      </c>
      <c r="P115" t="s">
        <v>85</v>
      </c>
    </row>
    <row r="116" spans="1:16" x14ac:dyDescent="0.35">
      <c r="A116" t="str">
        <f>_xlfn.XLOOKUP(I116,Sheet3!A:A,Sheet3!B:B)</f>
        <v>HR</v>
      </c>
      <c r="B116">
        <v>26</v>
      </c>
      <c r="C116">
        <f t="shared" si="1"/>
        <v>34</v>
      </c>
      <c r="D116" t="str">
        <f>A116&amp;-B116&amp;-C116</f>
        <v>HR-26-34</v>
      </c>
      <c r="E116" t="s">
        <v>270</v>
      </c>
      <c r="F116" s="4" t="s">
        <v>120</v>
      </c>
      <c r="G116" s="4"/>
      <c r="H116" s="4"/>
      <c r="I116" t="s">
        <v>85</v>
      </c>
      <c r="J116">
        <v>81122101</v>
      </c>
      <c r="K116">
        <v>52121402</v>
      </c>
      <c r="M116" t="s">
        <v>251</v>
      </c>
      <c r="P116" t="s">
        <v>85</v>
      </c>
    </row>
    <row r="117" spans="1:16" x14ac:dyDescent="0.35">
      <c r="A117" t="str">
        <f>_xlfn.XLOOKUP(I117,Sheet3!A:A,Sheet3!B:B)</f>
        <v>HR</v>
      </c>
      <c r="B117">
        <v>26</v>
      </c>
      <c r="C117">
        <f t="shared" si="1"/>
        <v>35</v>
      </c>
      <c r="D117" t="str">
        <f>A117&amp;-B117&amp;-C117</f>
        <v>HR-26-35</v>
      </c>
      <c r="E117" t="s">
        <v>270</v>
      </c>
      <c r="F117" s="4" t="s">
        <v>121</v>
      </c>
      <c r="G117" s="4"/>
      <c r="H117" s="4"/>
      <c r="I117" t="s">
        <v>85</v>
      </c>
      <c r="J117">
        <v>81122101</v>
      </c>
      <c r="K117">
        <v>52121402</v>
      </c>
      <c r="P117" t="s">
        <v>85</v>
      </c>
    </row>
    <row r="118" spans="1:16" x14ac:dyDescent="0.35">
      <c r="A118" t="str">
        <f>_xlfn.XLOOKUP(I118,Sheet3!A:A,Sheet3!B:B)</f>
        <v>HR</v>
      </c>
      <c r="B118">
        <v>26</v>
      </c>
      <c r="C118">
        <f t="shared" si="1"/>
        <v>36</v>
      </c>
      <c r="D118" t="str">
        <f>A118&amp;-B118&amp;-C118</f>
        <v>HR-26-36</v>
      </c>
      <c r="E118" t="s">
        <v>270</v>
      </c>
      <c r="F118" s="4" t="s">
        <v>79</v>
      </c>
      <c r="G118" s="4"/>
      <c r="H118" s="4"/>
      <c r="I118" t="s">
        <v>85</v>
      </c>
      <c r="J118">
        <v>81122101</v>
      </c>
      <c r="K118">
        <v>52121402</v>
      </c>
      <c r="P118" t="s">
        <v>85</v>
      </c>
    </row>
    <row r="119" spans="1:16" x14ac:dyDescent="0.35">
      <c r="A119" t="str">
        <f>_xlfn.XLOOKUP(I119,Sheet3!A:A,Sheet3!B:B)</f>
        <v>HR</v>
      </c>
      <c r="B119">
        <v>26</v>
      </c>
      <c r="C119">
        <f t="shared" si="1"/>
        <v>37</v>
      </c>
      <c r="D119" t="str">
        <f>A119&amp;-B119&amp;-C119</f>
        <v>HR-26-37</v>
      </c>
      <c r="E119" t="s">
        <v>270</v>
      </c>
      <c r="F119" s="4" t="s">
        <v>123</v>
      </c>
      <c r="G119" s="4"/>
      <c r="H119" s="4"/>
      <c r="I119" t="s">
        <v>85</v>
      </c>
      <c r="J119">
        <v>81122101</v>
      </c>
      <c r="K119">
        <v>52121402</v>
      </c>
      <c r="L119" t="s">
        <v>399</v>
      </c>
      <c r="M119" t="s">
        <v>400</v>
      </c>
      <c r="N119" t="s">
        <v>409</v>
      </c>
      <c r="P119" t="s">
        <v>85</v>
      </c>
    </row>
    <row r="120" spans="1:16" x14ac:dyDescent="0.35">
      <c r="A120" t="str">
        <f>_xlfn.XLOOKUP(I120,Sheet3!A:A,Sheet3!B:B)</f>
        <v>HR</v>
      </c>
      <c r="B120">
        <v>26</v>
      </c>
      <c r="C120">
        <f t="shared" si="1"/>
        <v>38</v>
      </c>
      <c r="D120" t="str">
        <f>A120&amp;-B120&amp;-C120</f>
        <v>HR-26-38</v>
      </c>
      <c r="E120" t="s">
        <v>270</v>
      </c>
      <c r="F120" s="4" t="s">
        <v>80</v>
      </c>
      <c r="G120" s="4"/>
      <c r="H120" s="4"/>
      <c r="I120" t="s">
        <v>85</v>
      </c>
      <c r="J120">
        <v>81122101</v>
      </c>
      <c r="K120">
        <v>52121402</v>
      </c>
      <c r="L120" t="s">
        <v>401</v>
      </c>
      <c r="M120" t="s">
        <v>402</v>
      </c>
      <c r="N120" t="s">
        <v>411</v>
      </c>
      <c r="P120" t="s">
        <v>85</v>
      </c>
    </row>
    <row r="121" spans="1:16" x14ac:dyDescent="0.35">
      <c r="A121" t="str">
        <f>_xlfn.XLOOKUP(I121,Sheet3!A:A,Sheet3!B:B)</f>
        <v>HR</v>
      </c>
      <c r="B121">
        <v>26</v>
      </c>
      <c r="C121">
        <f t="shared" si="1"/>
        <v>39</v>
      </c>
      <c r="D121" t="str">
        <f>A121&amp;-B121&amp;-C121</f>
        <v>HR-26-39</v>
      </c>
      <c r="E121" t="s">
        <v>270</v>
      </c>
      <c r="F121" s="4" t="s">
        <v>118</v>
      </c>
      <c r="G121" s="4" t="s">
        <v>223</v>
      </c>
      <c r="H121" s="4"/>
      <c r="I121" t="s">
        <v>85</v>
      </c>
      <c r="J121">
        <v>90111101</v>
      </c>
      <c r="K121">
        <v>52121314</v>
      </c>
      <c r="L121" t="s">
        <v>399</v>
      </c>
      <c r="M121" t="s">
        <v>400</v>
      </c>
      <c r="N121" t="s">
        <v>410</v>
      </c>
      <c r="P121" t="s">
        <v>85</v>
      </c>
    </row>
    <row r="122" spans="1:16" x14ac:dyDescent="0.35">
      <c r="A122" t="str">
        <f>_xlfn.XLOOKUP(I122,Sheet3!A:A,Sheet3!B:B)</f>
        <v>HR</v>
      </c>
      <c r="B122">
        <v>26</v>
      </c>
      <c r="C122">
        <f t="shared" si="1"/>
        <v>40</v>
      </c>
      <c r="D122" t="str">
        <f>A122&amp;-B122&amp;-C122</f>
        <v>HR-26-40</v>
      </c>
      <c r="E122" t="s">
        <v>270</v>
      </c>
      <c r="F122" s="4" t="s">
        <v>118</v>
      </c>
      <c r="G122" s="4" t="s">
        <v>222</v>
      </c>
      <c r="H122" s="4"/>
      <c r="I122" t="s">
        <v>85</v>
      </c>
      <c r="J122">
        <v>80111101</v>
      </c>
      <c r="K122">
        <v>61021315</v>
      </c>
      <c r="L122" t="s">
        <v>399</v>
      </c>
      <c r="M122" t="s">
        <v>400</v>
      </c>
      <c r="N122" t="s">
        <v>410</v>
      </c>
    </row>
    <row r="123" spans="1:16" x14ac:dyDescent="0.35">
      <c r="A123" t="str">
        <f>_xlfn.XLOOKUP(I123,Sheet3!A:A,Sheet3!B:B)</f>
        <v>HR</v>
      </c>
      <c r="B123">
        <v>26</v>
      </c>
      <c r="C123">
        <f t="shared" si="1"/>
        <v>41</v>
      </c>
      <c r="D123" t="str">
        <f>A123&amp;-B123&amp;-C123</f>
        <v>HR-26-41</v>
      </c>
      <c r="E123" t="s">
        <v>270</v>
      </c>
      <c r="F123" s="4" t="s">
        <v>118</v>
      </c>
      <c r="G123" s="4" t="s">
        <v>221</v>
      </c>
      <c r="H123" s="4"/>
      <c r="I123" t="s">
        <v>85</v>
      </c>
      <c r="J123">
        <v>81111101</v>
      </c>
      <c r="K123">
        <v>52121314</v>
      </c>
      <c r="L123" t="s">
        <v>399</v>
      </c>
      <c r="M123" t="s">
        <v>400</v>
      </c>
      <c r="N123" t="s">
        <v>410</v>
      </c>
    </row>
    <row r="124" spans="1:16" x14ac:dyDescent="0.35">
      <c r="A124" t="str">
        <f>_xlfn.XLOOKUP(I124,Sheet3!A:A,Sheet3!B:B)</f>
        <v>HR</v>
      </c>
      <c r="B124">
        <v>26</v>
      </c>
      <c r="C124">
        <f t="shared" si="1"/>
        <v>42</v>
      </c>
      <c r="D124" t="str">
        <f>A124&amp;-B124&amp;-C124</f>
        <v>HR-26-42</v>
      </c>
      <c r="E124" t="s">
        <v>270</v>
      </c>
      <c r="F124" s="4" t="s">
        <v>114</v>
      </c>
      <c r="G124" s="4"/>
      <c r="H124" s="4"/>
      <c r="I124" t="s">
        <v>85</v>
      </c>
      <c r="J124">
        <v>81122101</v>
      </c>
      <c r="K124">
        <v>52121402</v>
      </c>
      <c r="M124" t="s">
        <v>251</v>
      </c>
      <c r="P124" t="s">
        <v>85</v>
      </c>
    </row>
    <row r="125" spans="1:16" x14ac:dyDescent="0.35">
      <c r="A125" t="str">
        <f>_xlfn.XLOOKUP(I125,Sheet3!A:A,Sheet3!B:B)</f>
        <v>HR</v>
      </c>
      <c r="B125">
        <v>26</v>
      </c>
      <c r="C125">
        <f t="shared" si="1"/>
        <v>43</v>
      </c>
      <c r="D125" t="str">
        <f>A125&amp;-B125&amp;-C125</f>
        <v>HR-26-43</v>
      </c>
      <c r="E125" t="s">
        <v>270</v>
      </c>
      <c r="F125" s="4" t="s">
        <v>397</v>
      </c>
      <c r="G125" s="4"/>
      <c r="H125" s="4"/>
      <c r="I125" t="s">
        <v>85</v>
      </c>
      <c r="J125">
        <v>81122101</v>
      </c>
      <c r="K125">
        <v>52121402</v>
      </c>
      <c r="L125" t="s">
        <v>394</v>
      </c>
      <c r="M125" t="s">
        <v>395</v>
      </c>
      <c r="N125" t="s">
        <v>396</v>
      </c>
      <c r="P125" t="s">
        <v>85</v>
      </c>
    </row>
    <row r="126" spans="1:16" x14ac:dyDescent="0.35">
      <c r="A126" t="str">
        <f>_xlfn.XLOOKUP(I126,Sheet3!A:A,Sheet3!B:B)</f>
        <v>HR</v>
      </c>
      <c r="B126">
        <v>26</v>
      </c>
      <c r="C126">
        <f t="shared" si="1"/>
        <v>44</v>
      </c>
      <c r="D126" t="str">
        <f>A126&amp;-B126&amp;-C126</f>
        <v>HR-26-44</v>
      </c>
      <c r="E126" t="s">
        <v>329</v>
      </c>
      <c r="F126" s="4" t="s">
        <v>322</v>
      </c>
      <c r="G126" s="4" t="s">
        <v>223</v>
      </c>
      <c r="H126" s="4"/>
      <c r="I126" t="s">
        <v>85</v>
      </c>
      <c r="J126">
        <v>90122101</v>
      </c>
      <c r="K126">
        <v>61071099</v>
      </c>
      <c r="P126" t="s">
        <v>85</v>
      </c>
    </row>
    <row r="127" spans="1:16" x14ac:dyDescent="0.35">
      <c r="A127" t="str">
        <f>_xlfn.XLOOKUP(I127,Sheet3!A:A,Sheet3!B:B)</f>
        <v>HR</v>
      </c>
      <c r="B127">
        <v>26</v>
      </c>
      <c r="C127">
        <f t="shared" si="1"/>
        <v>45</v>
      </c>
      <c r="D127" t="str">
        <f>A127&amp;-B127&amp;-C127</f>
        <v>HR-26-45</v>
      </c>
      <c r="E127" t="s">
        <v>329</v>
      </c>
      <c r="F127" s="4" t="s">
        <v>322</v>
      </c>
      <c r="G127" s="4" t="s">
        <v>221</v>
      </c>
      <c r="H127" s="4"/>
      <c r="I127" t="s">
        <v>85</v>
      </c>
      <c r="J127">
        <v>81122101</v>
      </c>
      <c r="K127">
        <v>52071199</v>
      </c>
      <c r="P127" t="s">
        <v>85</v>
      </c>
    </row>
    <row r="128" spans="1:16" x14ac:dyDescent="0.35">
      <c r="A128" t="str">
        <f>_xlfn.XLOOKUP(I128,Sheet3!A:A,Sheet3!B:B)</f>
        <v>HR</v>
      </c>
      <c r="B128">
        <v>26</v>
      </c>
      <c r="C128">
        <f t="shared" si="1"/>
        <v>46</v>
      </c>
      <c r="D128" t="str">
        <f>A128&amp;-B128&amp;-C128</f>
        <v>HR-26-46</v>
      </c>
      <c r="E128" t="s">
        <v>329</v>
      </c>
      <c r="F128" s="4" t="s">
        <v>322</v>
      </c>
      <c r="G128" s="4" t="s">
        <v>222</v>
      </c>
      <c r="H128" s="4"/>
      <c r="I128" t="s">
        <v>85</v>
      </c>
      <c r="J128">
        <v>80122101</v>
      </c>
      <c r="K128">
        <v>61071099</v>
      </c>
      <c r="P128" t="s">
        <v>85</v>
      </c>
    </row>
    <row r="129" spans="1:16" x14ac:dyDescent="0.35">
      <c r="A129" t="str">
        <f>_xlfn.XLOOKUP(I129,Sheet3!A:A,Sheet3!B:B)</f>
        <v>HR</v>
      </c>
      <c r="B129">
        <v>26</v>
      </c>
      <c r="C129">
        <f t="shared" si="1"/>
        <v>47</v>
      </c>
      <c r="D129" t="str">
        <f>A129&amp;-B129&amp;-C129</f>
        <v>HR-26-47</v>
      </c>
      <c r="E129" t="s">
        <v>329</v>
      </c>
      <c r="F129" s="4" t="s">
        <v>321</v>
      </c>
      <c r="G129" s="4" t="s">
        <v>223</v>
      </c>
      <c r="H129" s="4"/>
      <c r="I129" t="s">
        <v>85</v>
      </c>
      <c r="J129">
        <v>90122101</v>
      </c>
      <c r="K129">
        <v>61071099</v>
      </c>
      <c r="P129" t="s">
        <v>85</v>
      </c>
    </row>
    <row r="130" spans="1:16" x14ac:dyDescent="0.35">
      <c r="A130" t="str">
        <f>_xlfn.XLOOKUP(I130,Sheet3!A:A,Sheet3!B:B)</f>
        <v>HR</v>
      </c>
      <c r="B130">
        <v>26</v>
      </c>
      <c r="C130">
        <f t="shared" si="1"/>
        <v>48</v>
      </c>
      <c r="D130" t="str">
        <f>A130&amp;-B130&amp;-C130</f>
        <v>HR-26-48</v>
      </c>
      <c r="E130" t="s">
        <v>329</v>
      </c>
      <c r="F130" s="4" t="s">
        <v>321</v>
      </c>
      <c r="G130" s="4" t="s">
        <v>221</v>
      </c>
      <c r="H130" s="4"/>
      <c r="I130" t="s">
        <v>85</v>
      </c>
      <c r="J130">
        <v>81122101</v>
      </c>
      <c r="K130">
        <v>52071199</v>
      </c>
      <c r="P130" t="s">
        <v>85</v>
      </c>
    </row>
    <row r="131" spans="1:16" x14ac:dyDescent="0.35">
      <c r="A131" t="str">
        <f>_xlfn.XLOOKUP(I131,Sheet3!A:A,Sheet3!B:B)</f>
        <v>HR</v>
      </c>
      <c r="B131">
        <v>26</v>
      </c>
      <c r="C131">
        <f t="shared" si="1"/>
        <v>49</v>
      </c>
      <c r="D131" t="str">
        <f>A131&amp;-B131&amp;-C131</f>
        <v>HR-26-49</v>
      </c>
      <c r="E131" t="s">
        <v>329</v>
      </c>
      <c r="F131" s="4" t="s">
        <v>321</v>
      </c>
      <c r="G131" s="4" t="s">
        <v>222</v>
      </c>
      <c r="H131" s="4"/>
      <c r="I131" t="s">
        <v>85</v>
      </c>
      <c r="J131">
        <v>80122101</v>
      </c>
      <c r="K131">
        <v>61071099</v>
      </c>
      <c r="P131" t="s">
        <v>85</v>
      </c>
    </row>
    <row r="132" spans="1:16" ht="29" x14ac:dyDescent="0.35">
      <c r="A132" t="str">
        <f>_xlfn.XLOOKUP(I132,Sheet3!A:A,Sheet3!B:B)</f>
        <v>HR</v>
      </c>
      <c r="B132">
        <v>26</v>
      </c>
      <c r="C132">
        <f t="shared" si="1"/>
        <v>50</v>
      </c>
      <c r="D132" t="str">
        <f>A132&amp;-B132&amp;-C132</f>
        <v>HR-26-50</v>
      </c>
      <c r="E132" t="s">
        <v>329</v>
      </c>
      <c r="F132" s="5" t="s">
        <v>332</v>
      </c>
      <c r="I132" t="s">
        <v>85</v>
      </c>
      <c r="J132">
        <v>90111101</v>
      </c>
      <c r="K132">
        <v>52071199</v>
      </c>
      <c r="P132" t="s">
        <v>85</v>
      </c>
    </row>
    <row r="133" spans="1:16" x14ac:dyDescent="0.35">
      <c r="A133" t="str">
        <f>_xlfn.XLOOKUP(I133,Sheet3!A:A,Sheet3!B:B)</f>
        <v>HR</v>
      </c>
      <c r="B133">
        <v>26</v>
      </c>
      <c r="C133">
        <f t="shared" si="1"/>
        <v>51</v>
      </c>
      <c r="D133" t="str">
        <f>A133&amp;-B133&amp;-C133</f>
        <v>HR-26-51</v>
      </c>
      <c r="E133" t="s">
        <v>329</v>
      </c>
      <c r="F133" s="4" t="s">
        <v>163</v>
      </c>
      <c r="G133" s="4"/>
      <c r="H133" s="4"/>
      <c r="I133" t="s">
        <v>85</v>
      </c>
      <c r="J133">
        <v>90122101</v>
      </c>
      <c r="K133">
        <v>52071104</v>
      </c>
      <c r="P133" t="s">
        <v>85</v>
      </c>
    </row>
    <row r="134" spans="1:16" x14ac:dyDescent="0.35">
      <c r="A134" t="str">
        <f>_xlfn.XLOOKUP(I134,Sheet3!A:A,Sheet3!B:B)</f>
        <v>HR</v>
      </c>
      <c r="B134">
        <v>26</v>
      </c>
      <c r="C134">
        <f t="shared" si="1"/>
        <v>52</v>
      </c>
      <c r="D134" t="str">
        <f>A134&amp;-B134&amp;-C134</f>
        <v>HR-26-52</v>
      </c>
      <c r="E134" t="s">
        <v>329</v>
      </c>
      <c r="F134" s="4" t="s">
        <v>438</v>
      </c>
      <c r="G134" s="4"/>
      <c r="H134" s="4"/>
      <c r="I134" t="s">
        <v>85</v>
      </c>
      <c r="J134">
        <v>90122101</v>
      </c>
      <c r="K134">
        <v>61071099</v>
      </c>
    </row>
    <row r="135" spans="1:16" x14ac:dyDescent="0.35">
      <c r="A135" t="str">
        <f>_xlfn.XLOOKUP(I135,Sheet3!A:A,Sheet3!B:B)</f>
        <v>HR</v>
      </c>
      <c r="B135">
        <v>26</v>
      </c>
      <c r="C135">
        <f t="shared" si="1"/>
        <v>53</v>
      </c>
      <c r="D135" t="str">
        <f>A135&amp;-B135&amp;-C135</f>
        <v>HR-26-53</v>
      </c>
      <c r="E135" t="s">
        <v>329</v>
      </c>
      <c r="F135" s="4" t="s">
        <v>164</v>
      </c>
      <c r="G135" s="4"/>
      <c r="H135" s="4"/>
      <c r="I135" t="s">
        <v>85</v>
      </c>
      <c r="J135">
        <v>90122101</v>
      </c>
      <c r="K135">
        <v>52071104</v>
      </c>
      <c r="P135" t="s">
        <v>85</v>
      </c>
    </row>
    <row r="136" spans="1:16" x14ac:dyDescent="0.35">
      <c r="A136" t="str">
        <f>_xlfn.XLOOKUP(I136,Sheet3!A:A,Sheet3!B:B)</f>
        <v>HR</v>
      </c>
      <c r="B136">
        <v>26</v>
      </c>
      <c r="C136">
        <f t="shared" si="1"/>
        <v>54</v>
      </c>
      <c r="D136" t="str">
        <f>A136&amp;-B136&amp;-C136</f>
        <v>HR-26-54</v>
      </c>
      <c r="E136" t="s">
        <v>329</v>
      </c>
      <c r="F136" s="5" t="s">
        <v>323</v>
      </c>
      <c r="I136" t="s">
        <v>85</v>
      </c>
      <c r="J136">
        <v>90122101</v>
      </c>
      <c r="K136">
        <v>52071104</v>
      </c>
      <c r="P136" t="s">
        <v>85</v>
      </c>
    </row>
    <row r="137" spans="1:16" x14ac:dyDescent="0.35">
      <c r="A137" t="str">
        <f>_xlfn.XLOOKUP(I137,Sheet3!A:A,Sheet3!B:B)</f>
        <v>HR</v>
      </c>
      <c r="B137">
        <v>26</v>
      </c>
      <c r="C137">
        <f t="shared" si="1"/>
        <v>55</v>
      </c>
      <c r="D137" t="str">
        <f>A137&amp;-B137&amp;-C137</f>
        <v>HR-26-55</v>
      </c>
      <c r="E137" t="s">
        <v>219</v>
      </c>
      <c r="F137" s="4" t="s">
        <v>133</v>
      </c>
      <c r="G137" s="4" t="s">
        <v>222</v>
      </c>
      <c r="H137" s="4"/>
      <c r="I137" t="s">
        <v>85</v>
      </c>
      <c r="J137">
        <v>80111101</v>
      </c>
      <c r="K137">
        <v>61021314</v>
      </c>
      <c r="P137" t="s">
        <v>85</v>
      </c>
    </row>
    <row r="138" spans="1:16" x14ac:dyDescent="0.35">
      <c r="A138" t="str">
        <f>_xlfn.XLOOKUP(I138,Sheet3!A:A,Sheet3!B:B)</f>
        <v>HR</v>
      </c>
      <c r="B138">
        <v>26</v>
      </c>
      <c r="C138">
        <f t="shared" si="1"/>
        <v>56</v>
      </c>
      <c r="D138" t="str">
        <f>A138&amp;-B138&amp;-C138</f>
        <v>HR-26-56</v>
      </c>
      <c r="E138" t="s">
        <v>219</v>
      </c>
      <c r="F138" s="4" t="s">
        <v>133</v>
      </c>
      <c r="G138" s="4" t="s">
        <v>223</v>
      </c>
      <c r="H138" s="4"/>
      <c r="I138" t="s">
        <v>85</v>
      </c>
      <c r="J138">
        <v>90111101</v>
      </c>
      <c r="K138">
        <v>52121313</v>
      </c>
      <c r="P138" t="s">
        <v>85</v>
      </c>
    </row>
    <row r="139" spans="1:16" x14ac:dyDescent="0.35">
      <c r="A139" t="str">
        <f>_xlfn.XLOOKUP(I139,Sheet3!A:A,Sheet3!B:B)</f>
        <v>HR</v>
      </c>
      <c r="B139">
        <v>26</v>
      </c>
      <c r="C139">
        <f t="shared" si="1"/>
        <v>57</v>
      </c>
      <c r="D139" t="str">
        <f>A139&amp;-B139&amp;-C139</f>
        <v>HR-26-57</v>
      </c>
      <c r="E139" t="s">
        <v>219</v>
      </c>
      <c r="F139" s="4" t="s">
        <v>133</v>
      </c>
      <c r="G139" s="4" t="s">
        <v>221</v>
      </c>
      <c r="H139" s="4"/>
      <c r="I139" t="s">
        <v>85</v>
      </c>
      <c r="J139">
        <v>81111101</v>
      </c>
      <c r="K139">
        <v>52121313</v>
      </c>
      <c r="P139" t="s">
        <v>85</v>
      </c>
    </row>
    <row r="140" spans="1:16" x14ac:dyDescent="0.35">
      <c r="A140" t="str">
        <f>_xlfn.XLOOKUP(I140,Sheet3!A:A,Sheet3!B:B)</f>
        <v>HR</v>
      </c>
      <c r="B140">
        <v>26</v>
      </c>
      <c r="C140">
        <f t="shared" si="1"/>
        <v>58</v>
      </c>
      <c r="D140" t="str">
        <f>A140&amp;-B140&amp;-C140</f>
        <v>HR-26-58</v>
      </c>
      <c r="E140" t="s">
        <v>314</v>
      </c>
      <c r="F140" s="4" t="s">
        <v>115</v>
      </c>
      <c r="G140" s="4"/>
      <c r="H140" s="4"/>
      <c r="I140" t="s">
        <v>85</v>
      </c>
      <c r="J140">
        <v>81122101</v>
      </c>
      <c r="K140">
        <v>52111101</v>
      </c>
      <c r="P140" t="s">
        <v>85</v>
      </c>
    </row>
    <row r="141" spans="1:16" x14ac:dyDescent="0.35">
      <c r="A141" t="str">
        <f>_xlfn.XLOOKUP(I141,Sheet3!A:A,Sheet3!B:B)</f>
        <v>HR</v>
      </c>
      <c r="B141">
        <v>26</v>
      </c>
      <c r="C141">
        <f t="shared" si="1"/>
        <v>59</v>
      </c>
      <c r="D141" t="str">
        <f>A141&amp;-B141&amp;-C141</f>
        <v>HR-26-59</v>
      </c>
      <c r="E141" t="s">
        <v>314</v>
      </c>
      <c r="F141" s="4" t="s">
        <v>113</v>
      </c>
      <c r="G141" s="4"/>
      <c r="H141" s="4"/>
      <c r="I141" t="s">
        <v>85</v>
      </c>
      <c r="J141">
        <v>81122101</v>
      </c>
      <c r="K141">
        <v>52111101</v>
      </c>
      <c r="P141" t="s">
        <v>85</v>
      </c>
    </row>
    <row r="142" spans="1:16" x14ac:dyDescent="0.35">
      <c r="A142" t="str">
        <f>_xlfn.XLOOKUP(I142,Sheet3!A:A,Sheet3!B:B)</f>
        <v>HR</v>
      </c>
      <c r="B142">
        <v>26</v>
      </c>
      <c r="C142">
        <f t="shared" si="1"/>
        <v>60</v>
      </c>
      <c r="D142" t="str">
        <f>A142&amp;-B142&amp;-C142</f>
        <v>HR-26-60</v>
      </c>
      <c r="E142" t="s">
        <v>314</v>
      </c>
      <c r="F142" s="4" t="s">
        <v>81</v>
      </c>
      <c r="G142" s="4"/>
      <c r="H142" s="4"/>
      <c r="I142" t="s">
        <v>85</v>
      </c>
      <c r="J142">
        <v>81122101</v>
      </c>
      <c r="K142">
        <v>52111101</v>
      </c>
      <c r="P142" t="s">
        <v>85</v>
      </c>
    </row>
    <row r="143" spans="1:16" x14ac:dyDescent="0.35">
      <c r="A143" t="str">
        <f>_xlfn.XLOOKUP(I143,Sheet3!A:A,Sheet3!B:B)</f>
        <v>HR</v>
      </c>
      <c r="B143">
        <v>26</v>
      </c>
      <c r="C143">
        <f t="shared" si="1"/>
        <v>61</v>
      </c>
      <c r="D143" t="str">
        <f>A143&amp;-B143&amp;-C143</f>
        <v>HR-26-61</v>
      </c>
      <c r="E143" t="s">
        <v>314</v>
      </c>
      <c r="F143" s="4" t="s">
        <v>116</v>
      </c>
      <c r="G143" s="4"/>
      <c r="H143" s="4"/>
      <c r="I143" t="s">
        <v>85</v>
      </c>
      <c r="J143">
        <v>81122101</v>
      </c>
      <c r="K143">
        <v>52111101</v>
      </c>
    </row>
    <row r="144" spans="1:16" x14ac:dyDescent="0.35">
      <c r="A144" t="str">
        <f>_xlfn.XLOOKUP(I144,Sheet3!A:A,Sheet3!B:B)</f>
        <v>HR</v>
      </c>
      <c r="B144">
        <v>26</v>
      </c>
      <c r="C144">
        <f t="shared" si="1"/>
        <v>62</v>
      </c>
      <c r="D144" t="str">
        <f>A144&amp;-B144&amp;-C144</f>
        <v>HR-26-62</v>
      </c>
      <c r="E144" t="s">
        <v>314</v>
      </c>
      <c r="F144" s="4" t="s">
        <v>83</v>
      </c>
      <c r="G144" s="4"/>
      <c r="H144" s="4"/>
      <c r="I144" t="s">
        <v>85</v>
      </c>
      <c r="J144">
        <v>81122101</v>
      </c>
      <c r="K144">
        <v>52111101</v>
      </c>
      <c r="P144" t="s">
        <v>85</v>
      </c>
    </row>
    <row r="145" spans="1:16" x14ac:dyDescent="0.35">
      <c r="A145" t="str">
        <f>_xlfn.XLOOKUP(I145,Sheet3!A:A,Sheet3!B:B)</f>
        <v>HR</v>
      </c>
      <c r="B145">
        <v>26</v>
      </c>
      <c r="C145">
        <f t="shared" si="1"/>
        <v>63</v>
      </c>
      <c r="D145" t="str">
        <f>A145&amp;-B145&amp;-C145</f>
        <v>HR-26-63</v>
      </c>
      <c r="E145" t="s">
        <v>314</v>
      </c>
      <c r="F145" s="4" t="s">
        <v>413</v>
      </c>
      <c r="G145" s="4"/>
      <c r="H145" s="4"/>
      <c r="I145" t="s">
        <v>85</v>
      </c>
      <c r="J145">
        <v>81122101</v>
      </c>
      <c r="K145">
        <v>52111101</v>
      </c>
      <c r="P145" t="s">
        <v>85</v>
      </c>
    </row>
    <row r="146" spans="1:16" x14ac:dyDescent="0.35">
      <c r="A146" t="str">
        <f>_xlfn.XLOOKUP(I146,Sheet3!A:A,Sheet3!B:B)</f>
        <v>HR</v>
      </c>
      <c r="B146">
        <v>26</v>
      </c>
      <c r="C146">
        <f t="shared" si="1"/>
        <v>64</v>
      </c>
      <c r="D146" t="str">
        <f>A146&amp;-B146&amp;-C146</f>
        <v>HR-26-64</v>
      </c>
      <c r="E146" t="s">
        <v>441</v>
      </c>
      <c r="F146" s="4" t="s">
        <v>165</v>
      </c>
      <c r="G146" s="4" t="s">
        <v>221</v>
      </c>
      <c r="H146" s="4"/>
      <c r="I146" t="s">
        <v>85</v>
      </c>
      <c r="J146">
        <v>81122101</v>
      </c>
      <c r="K146">
        <v>52071104</v>
      </c>
      <c r="L146" t="s">
        <v>325</v>
      </c>
      <c r="P146" t="s">
        <v>85</v>
      </c>
    </row>
    <row r="147" spans="1:16" x14ac:dyDescent="0.35">
      <c r="A147" t="str">
        <f>_xlfn.XLOOKUP(I147,Sheet3!A:A,Sheet3!B:B)</f>
        <v>HR</v>
      </c>
      <c r="B147">
        <v>26</v>
      </c>
      <c r="C147">
        <f t="shared" si="1"/>
        <v>65</v>
      </c>
      <c r="D147" t="str">
        <f>A147&amp;-B147&amp;-C147</f>
        <v>HR-26-65</v>
      </c>
      <c r="E147" t="s">
        <v>441</v>
      </c>
      <c r="F147" s="4" t="s">
        <v>165</v>
      </c>
      <c r="G147" s="4" t="s">
        <v>223</v>
      </c>
      <c r="H147" s="4"/>
      <c r="I147" t="s">
        <v>85</v>
      </c>
      <c r="J147">
        <v>90122101</v>
      </c>
      <c r="K147">
        <v>52071104</v>
      </c>
      <c r="L147" t="s">
        <v>325</v>
      </c>
      <c r="P147" t="s">
        <v>85</v>
      </c>
    </row>
    <row r="148" spans="1:16" x14ac:dyDescent="0.35">
      <c r="A148" t="str">
        <f>_xlfn.XLOOKUP(I148,Sheet3!A:A,Sheet3!B:B)</f>
        <v>HR</v>
      </c>
      <c r="B148">
        <v>26</v>
      </c>
      <c r="C148">
        <f t="shared" si="1"/>
        <v>66</v>
      </c>
      <c r="D148" t="str">
        <f>A148&amp;-B148&amp;-C148</f>
        <v>HR-26-66</v>
      </c>
      <c r="E148" s="4" t="s">
        <v>267</v>
      </c>
      <c r="F148" s="4" t="s">
        <v>148</v>
      </c>
      <c r="G148" s="4" t="s">
        <v>221</v>
      </c>
      <c r="H148" s="4"/>
      <c r="I148" t="s">
        <v>85</v>
      </c>
      <c r="J148">
        <v>81111101</v>
      </c>
      <c r="K148">
        <v>52121301</v>
      </c>
      <c r="P148" t="s">
        <v>85</v>
      </c>
    </row>
    <row r="149" spans="1:16" x14ac:dyDescent="0.35">
      <c r="A149" t="str">
        <f>_xlfn.XLOOKUP(I149,Sheet3!A:A,Sheet3!B:B)</f>
        <v>HR</v>
      </c>
      <c r="B149">
        <v>26</v>
      </c>
      <c r="C149">
        <f t="shared" ref="C149:C212" si="2">C148+1</f>
        <v>67</v>
      </c>
      <c r="D149" t="str">
        <f>A149&amp;-B149&amp;-C149</f>
        <v>HR-26-67</v>
      </c>
      <c r="E149" s="4" t="s">
        <v>267</v>
      </c>
      <c r="F149" s="4" t="s">
        <v>148</v>
      </c>
      <c r="G149" s="4" t="s">
        <v>222</v>
      </c>
      <c r="H149" s="4"/>
      <c r="I149" t="s">
        <v>85</v>
      </c>
      <c r="J149">
        <v>80111101</v>
      </c>
      <c r="K149">
        <v>61021301</v>
      </c>
      <c r="P149" t="s">
        <v>85</v>
      </c>
    </row>
    <row r="150" spans="1:16" x14ac:dyDescent="0.35">
      <c r="A150" t="str">
        <f>_xlfn.XLOOKUP(I150,Sheet3!A:A,Sheet3!B:B)</f>
        <v>HR</v>
      </c>
      <c r="B150">
        <v>26</v>
      </c>
      <c r="C150">
        <f t="shared" si="2"/>
        <v>68</v>
      </c>
      <c r="D150" t="str">
        <f>A150&amp;-B150&amp;-C150</f>
        <v>HR-26-68</v>
      </c>
      <c r="E150" s="4" t="s">
        <v>267</v>
      </c>
      <c r="F150" s="4" t="s">
        <v>148</v>
      </c>
      <c r="G150" s="4" t="s">
        <v>223</v>
      </c>
      <c r="H150" s="4"/>
      <c r="I150" t="s">
        <v>85</v>
      </c>
      <c r="J150">
        <v>90111101</v>
      </c>
      <c r="K150">
        <v>52121301</v>
      </c>
      <c r="P150" t="s">
        <v>85</v>
      </c>
    </row>
    <row r="151" spans="1:16" x14ac:dyDescent="0.35">
      <c r="A151" t="str">
        <f>_xlfn.XLOOKUP(I151,Sheet3!A:A,Sheet3!B:B)</f>
        <v>HR</v>
      </c>
      <c r="B151">
        <v>26</v>
      </c>
      <c r="C151">
        <f t="shared" si="2"/>
        <v>69</v>
      </c>
      <c r="D151" t="str">
        <f>A151&amp;-B151&amp;-C151</f>
        <v>HR-26-69</v>
      </c>
      <c r="E151" t="s">
        <v>267</v>
      </c>
      <c r="F151" s="4" t="s">
        <v>134</v>
      </c>
      <c r="G151" s="4" t="s">
        <v>221</v>
      </c>
      <c r="H151" s="4"/>
      <c r="I151" t="s">
        <v>85</v>
      </c>
      <c r="J151">
        <v>81111101</v>
      </c>
      <c r="K151">
        <v>52121308</v>
      </c>
      <c r="P151" t="s">
        <v>85</v>
      </c>
    </row>
    <row r="152" spans="1:16" x14ac:dyDescent="0.35">
      <c r="A152" t="str">
        <f>_xlfn.XLOOKUP(I152,Sheet3!A:A,Sheet3!B:B)</f>
        <v>HR</v>
      </c>
      <c r="B152">
        <v>26</v>
      </c>
      <c r="C152">
        <f t="shared" si="2"/>
        <v>70</v>
      </c>
      <c r="D152" t="str">
        <f>A152&amp;-B152&amp;-C152</f>
        <v>HR-26-70</v>
      </c>
      <c r="E152" t="s">
        <v>267</v>
      </c>
      <c r="F152" s="4" t="s">
        <v>134</v>
      </c>
      <c r="G152" s="4" t="s">
        <v>225</v>
      </c>
      <c r="H152" s="4"/>
      <c r="I152" t="s">
        <v>85</v>
      </c>
      <c r="J152">
        <v>80111101</v>
      </c>
      <c r="K152">
        <v>61021309</v>
      </c>
      <c r="P152" t="s">
        <v>85</v>
      </c>
    </row>
    <row r="153" spans="1:16" x14ac:dyDescent="0.35">
      <c r="A153" t="str">
        <f>_xlfn.XLOOKUP(I153,Sheet3!A:A,Sheet3!B:B)</f>
        <v>HR</v>
      </c>
      <c r="B153">
        <v>26</v>
      </c>
      <c r="C153">
        <f t="shared" si="2"/>
        <v>71</v>
      </c>
      <c r="D153" t="str">
        <f>A153&amp;-B153&amp;-C153</f>
        <v>HR-26-71</v>
      </c>
      <c r="E153" t="s">
        <v>267</v>
      </c>
      <c r="F153" s="4" t="s">
        <v>134</v>
      </c>
      <c r="G153" s="4" t="s">
        <v>223</v>
      </c>
      <c r="H153" s="4"/>
      <c r="I153" t="s">
        <v>85</v>
      </c>
      <c r="J153">
        <v>90111101</v>
      </c>
      <c r="K153">
        <v>52121308</v>
      </c>
      <c r="P153" t="s">
        <v>85</v>
      </c>
    </row>
    <row r="154" spans="1:16" x14ac:dyDescent="0.35">
      <c r="A154" t="str">
        <f>_xlfn.XLOOKUP(I154,Sheet3!A:A,Sheet3!B:B)</f>
        <v>HR</v>
      </c>
      <c r="B154">
        <v>26</v>
      </c>
      <c r="C154">
        <f t="shared" si="2"/>
        <v>72</v>
      </c>
      <c r="D154" t="str">
        <f>A154&amp;-B154&amp;-C154</f>
        <v>HR-26-72</v>
      </c>
      <c r="E154" t="s">
        <v>267</v>
      </c>
      <c r="F154" s="4" t="s">
        <v>151</v>
      </c>
      <c r="G154" s="4" t="s">
        <v>221</v>
      </c>
      <c r="H154" s="4"/>
      <c r="I154" t="s">
        <v>85</v>
      </c>
      <c r="J154">
        <v>81111101</v>
      </c>
      <c r="K154">
        <v>52121303</v>
      </c>
      <c r="P154" t="s">
        <v>85</v>
      </c>
    </row>
    <row r="155" spans="1:16" x14ac:dyDescent="0.35">
      <c r="A155" t="str">
        <f>_xlfn.XLOOKUP(I155,Sheet3!A:A,Sheet3!B:B)</f>
        <v>HR</v>
      </c>
      <c r="B155">
        <v>26</v>
      </c>
      <c r="C155">
        <f t="shared" si="2"/>
        <v>73</v>
      </c>
      <c r="D155" t="str">
        <f>A155&amp;-B155&amp;-C155</f>
        <v>HR-26-73</v>
      </c>
      <c r="E155" t="s">
        <v>267</v>
      </c>
      <c r="F155" s="4" t="s">
        <v>151</v>
      </c>
      <c r="G155" s="4" t="s">
        <v>222</v>
      </c>
      <c r="H155" s="4"/>
      <c r="I155" t="s">
        <v>85</v>
      </c>
      <c r="J155">
        <v>80111101</v>
      </c>
      <c r="K155">
        <v>61021303</v>
      </c>
      <c r="P155" t="s">
        <v>85</v>
      </c>
    </row>
    <row r="156" spans="1:16" x14ac:dyDescent="0.35">
      <c r="A156" t="str">
        <f>_xlfn.XLOOKUP(I156,Sheet3!A:A,Sheet3!B:B)</f>
        <v>HR</v>
      </c>
      <c r="B156">
        <v>26</v>
      </c>
      <c r="C156">
        <f t="shared" si="2"/>
        <v>74</v>
      </c>
      <c r="D156" t="str">
        <f>A156&amp;-B156&amp;-C156</f>
        <v>HR-26-74</v>
      </c>
      <c r="E156" t="s">
        <v>267</v>
      </c>
      <c r="F156" s="4" t="s">
        <v>151</v>
      </c>
      <c r="G156" s="4" t="s">
        <v>223</v>
      </c>
      <c r="H156" s="4"/>
      <c r="I156" t="s">
        <v>85</v>
      </c>
      <c r="J156">
        <v>90111101</v>
      </c>
      <c r="K156">
        <v>52121303</v>
      </c>
      <c r="P156" t="s">
        <v>85</v>
      </c>
    </row>
    <row r="157" spans="1:16" x14ac:dyDescent="0.35">
      <c r="A157" t="str">
        <f>_xlfn.XLOOKUP(I157,Sheet3!A:A,Sheet3!B:B)</f>
        <v>HR</v>
      </c>
      <c r="B157">
        <v>26</v>
      </c>
      <c r="C157">
        <f t="shared" si="2"/>
        <v>75</v>
      </c>
      <c r="D157" t="str">
        <f>A157&amp;-B157&amp;-C157</f>
        <v>HR-26-75</v>
      </c>
      <c r="E157" s="4" t="s">
        <v>267</v>
      </c>
      <c r="F157" s="4" t="s">
        <v>130</v>
      </c>
      <c r="G157" s="4" t="s">
        <v>223</v>
      </c>
      <c r="H157" s="4"/>
      <c r="I157" t="s">
        <v>85</v>
      </c>
      <c r="J157">
        <v>90111101</v>
      </c>
      <c r="K157">
        <v>52121106</v>
      </c>
      <c r="P157" t="s">
        <v>85</v>
      </c>
    </row>
    <row r="158" spans="1:16" x14ac:dyDescent="0.35">
      <c r="A158" t="str">
        <f>_xlfn.XLOOKUP(I158,Sheet3!A:A,Sheet3!B:B)</f>
        <v>HR</v>
      </c>
      <c r="B158">
        <v>26</v>
      </c>
      <c r="C158">
        <f t="shared" si="2"/>
        <v>76</v>
      </c>
      <c r="D158" t="str">
        <f>A158&amp;-B158&amp;-C158</f>
        <v>HR-26-76</v>
      </c>
      <c r="E158" s="4" t="s">
        <v>267</v>
      </c>
      <c r="F158" s="4" t="s">
        <v>125</v>
      </c>
      <c r="G158" s="4" t="s">
        <v>221</v>
      </c>
      <c r="H158" s="4"/>
      <c r="I158" t="s">
        <v>85</v>
      </c>
      <c r="J158">
        <v>81111101</v>
      </c>
      <c r="K158">
        <v>52121106</v>
      </c>
      <c r="P158" t="s">
        <v>85</v>
      </c>
    </row>
    <row r="159" spans="1:16" x14ac:dyDescent="0.35">
      <c r="A159" t="str">
        <f>_xlfn.XLOOKUP(I159,Sheet3!A:A,Sheet3!B:B)</f>
        <v>HR</v>
      </c>
      <c r="B159">
        <v>26</v>
      </c>
      <c r="C159">
        <f t="shared" si="2"/>
        <v>77</v>
      </c>
      <c r="D159" t="str">
        <f>A159&amp;-B159&amp;-C159</f>
        <v>HR-26-77</v>
      </c>
      <c r="E159" t="s">
        <v>267</v>
      </c>
      <c r="F159" s="4" t="s">
        <v>149</v>
      </c>
      <c r="G159" s="4" t="s">
        <v>221</v>
      </c>
      <c r="H159" s="4"/>
      <c r="I159" t="s">
        <v>85</v>
      </c>
      <c r="J159">
        <v>81111101</v>
      </c>
      <c r="K159">
        <v>52121301</v>
      </c>
      <c r="P159" t="s">
        <v>85</v>
      </c>
    </row>
    <row r="160" spans="1:16" x14ac:dyDescent="0.35">
      <c r="A160" t="str">
        <f>_xlfn.XLOOKUP(I160,Sheet3!A:A,Sheet3!B:B)</f>
        <v>HR</v>
      </c>
      <c r="B160">
        <v>26</v>
      </c>
      <c r="C160">
        <f t="shared" si="2"/>
        <v>78</v>
      </c>
      <c r="D160" t="str">
        <f>A160&amp;-B160&amp;-C160</f>
        <v>HR-26-78</v>
      </c>
      <c r="E160" t="s">
        <v>267</v>
      </c>
      <c r="F160" s="4" t="s">
        <v>149</v>
      </c>
      <c r="G160" s="4" t="s">
        <v>222</v>
      </c>
      <c r="H160" s="4"/>
      <c r="I160" t="s">
        <v>85</v>
      </c>
      <c r="J160">
        <v>80111101</v>
      </c>
      <c r="K160">
        <v>61021301</v>
      </c>
      <c r="P160" t="s">
        <v>85</v>
      </c>
    </row>
    <row r="161" spans="1:16" x14ac:dyDescent="0.35">
      <c r="A161" t="str">
        <f>_xlfn.XLOOKUP(I161,Sheet3!A:A,Sheet3!B:B)</f>
        <v>HR</v>
      </c>
      <c r="B161">
        <v>26</v>
      </c>
      <c r="C161">
        <f t="shared" si="2"/>
        <v>79</v>
      </c>
      <c r="D161" t="str">
        <f>A161&amp;-B161&amp;-C161</f>
        <v>HR-26-79</v>
      </c>
      <c r="E161" t="s">
        <v>267</v>
      </c>
      <c r="F161" s="4" t="s">
        <v>149</v>
      </c>
      <c r="G161" s="4" t="s">
        <v>223</v>
      </c>
      <c r="H161" s="4"/>
      <c r="I161" t="s">
        <v>85</v>
      </c>
      <c r="J161">
        <v>90111101</v>
      </c>
      <c r="K161">
        <v>52121301</v>
      </c>
      <c r="P161" t="s">
        <v>85</v>
      </c>
    </row>
    <row r="162" spans="1:16" x14ac:dyDescent="0.35">
      <c r="A162" t="str">
        <f>_xlfn.XLOOKUP(I162,Sheet3!A:A,Sheet3!B:B)</f>
        <v>HR</v>
      </c>
      <c r="B162">
        <v>26</v>
      </c>
      <c r="C162">
        <f t="shared" si="2"/>
        <v>80</v>
      </c>
      <c r="D162" t="str">
        <f>A162&amp;-B162&amp;-C162</f>
        <v>HR-26-80</v>
      </c>
      <c r="E162" t="s">
        <v>267</v>
      </c>
      <c r="F162" s="4" t="s">
        <v>146</v>
      </c>
      <c r="G162" s="4" t="s">
        <v>221</v>
      </c>
      <c r="H162" s="4"/>
      <c r="I162" t="s">
        <v>85</v>
      </c>
      <c r="J162">
        <v>81111101</v>
      </c>
      <c r="K162">
        <v>52121302</v>
      </c>
      <c r="P162" t="s">
        <v>85</v>
      </c>
    </row>
    <row r="163" spans="1:16" x14ac:dyDescent="0.35">
      <c r="A163" t="str">
        <f>_xlfn.XLOOKUP(I163,Sheet3!A:A,Sheet3!B:B)</f>
        <v>HR</v>
      </c>
      <c r="B163">
        <v>26</v>
      </c>
      <c r="C163">
        <f t="shared" si="2"/>
        <v>81</v>
      </c>
      <c r="D163" t="str">
        <f>A163&amp;-B163&amp;-C163</f>
        <v>HR-26-81</v>
      </c>
      <c r="E163" t="s">
        <v>267</v>
      </c>
      <c r="F163" s="4" t="s">
        <v>146</v>
      </c>
      <c r="G163" s="4" t="s">
        <v>222</v>
      </c>
      <c r="H163" s="4"/>
      <c r="I163" t="s">
        <v>85</v>
      </c>
      <c r="J163">
        <v>80111101</v>
      </c>
      <c r="K163">
        <v>61021302</v>
      </c>
      <c r="P163" t="s">
        <v>85</v>
      </c>
    </row>
    <row r="164" spans="1:16" x14ac:dyDescent="0.35">
      <c r="A164" t="str">
        <f>_xlfn.XLOOKUP(I164,Sheet3!A:A,Sheet3!B:B)</f>
        <v>HR</v>
      </c>
      <c r="B164">
        <v>26</v>
      </c>
      <c r="C164">
        <f t="shared" si="2"/>
        <v>82</v>
      </c>
      <c r="D164" t="str">
        <f>A164&amp;-B164&amp;-C164</f>
        <v>HR-26-82</v>
      </c>
      <c r="E164" t="s">
        <v>267</v>
      </c>
      <c r="F164" s="4" t="s">
        <v>146</v>
      </c>
      <c r="G164" s="4" t="s">
        <v>223</v>
      </c>
      <c r="H164" s="4"/>
      <c r="I164" t="s">
        <v>85</v>
      </c>
      <c r="J164">
        <v>90111101</v>
      </c>
      <c r="K164">
        <v>52121302</v>
      </c>
      <c r="P164" t="s">
        <v>85</v>
      </c>
    </row>
    <row r="165" spans="1:16" x14ac:dyDescent="0.35">
      <c r="A165" t="str">
        <f>_xlfn.XLOOKUP(I165,Sheet3!A:A,Sheet3!B:B)</f>
        <v>HR</v>
      </c>
      <c r="B165">
        <v>26</v>
      </c>
      <c r="C165">
        <f t="shared" si="2"/>
        <v>83</v>
      </c>
      <c r="D165" t="str">
        <f>A165&amp;-B165&amp;-C165</f>
        <v>HR-26-83</v>
      </c>
      <c r="E165" t="s">
        <v>267</v>
      </c>
      <c r="F165" s="4" t="s">
        <v>150</v>
      </c>
      <c r="G165" s="4" t="s">
        <v>221</v>
      </c>
      <c r="H165" s="4"/>
      <c r="I165" t="s">
        <v>85</v>
      </c>
      <c r="J165">
        <v>81111101</v>
      </c>
      <c r="K165">
        <v>52121303</v>
      </c>
      <c r="P165" t="s">
        <v>85</v>
      </c>
    </row>
    <row r="166" spans="1:16" x14ac:dyDescent="0.35">
      <c r="A166" t="str">
        <f>_xlfn.XLOOKUP(I166,Sheet3!A:A,Sheet3!B:B)</f>
        <v>HR</v>
      </c>
      <c r="B166">
        <v>26</v>
      </c>
      <c r="C166">
        <f t="shared" si="2"/>
        <v>84</v>
      </c>
      <c r="D166" t="str">
        <f>A166&amp;-B166&amp;-C166</f>
        <v>HR-26-84</v>
      </c>
      <c r="E166" t="s">
        <v>267</v>
      </c>
      <c r="F166" s="4" t="s">
        <v>150</v>
      </c>
      <c r="G166" s="4" t="s">
        <v>222</v>
      </c>
      <c r="H166" s="4"/>
      <c r="I166" t="s">
        <v>85</v>
      </c>
      <c r="J166">
        <v>80111101</v>
      </c>
      <c r="K166">
        <v>61021303</v>
      </c>
      <c r="P166" t="s">
        <v>85</v>
      </c>
    </row>
    <row r="167" spans="1:16" x14ac:dyDescent="0.35">
      <c r="A167" t="str">
        <f>_xlfn.XLOOKUP(I167,Sheet3!A:A,Sheet3!B:B)</f>
        <v>HR</v>
      </c>
      <c r="B167">
        <v>26</v>
      </c>
      <c r="C167">
        <f t="shared" si="2"/>
        <v>85</v>
      </c>
      <c r="D167" t="str">
        <f>A167&amp;-B167&amp;-C167</f>
        <v>HR-26-85</v>
      </c>
      <c r="E167" t="s">
        <v>267</v>
      </c>
      <c r="F167" s="4" t="s">
        <v>150</v>
      </c>
      <c r="G167" s="4" t="s">
        <v>223</v>
      </c>
      <c r="H167" s="4"/>
      <c r="I167" t="s">
        <v>85</v>
      </c>
      <c r="J167">
        <v>90111101</v>
      </c>
      <c r="K167">
        <v>52121303</v>
      </c>
      <c r="P167" t="s">
        <v>85</v>
      </c>
    </row>
    <row r="168" spans="1:16" x14ac:dyDescent="0.35">
      <c r="A168" t="str">
        <f>_xlfn.XLOOKUP(I168,Sheet3!A:A,Sheet3!B:B)</f>
        <v>HR</v>
      </c>
      <c r="B168">
        <v>26</v>
      </c>
      <c r="C168">
        <f t="shared" si="2"/>
        <v>86</v>
      </c>
      <c r="D168" t="str">
        <f>A168&amp;-B168&amp;-C168</f>
        <v>HR-26-86</v>
      </c>
      <c r="E168" t="s">
        <v>267</v>
      </c>
      <c r="F168" s="4" t="s">
        <v>129</v>
      </c>
      <c r="G168" s="4" t="s">
        <v>222</v>
      </c>
      <c r="H168" s="4"/>
      <c r="I168" t="s">
        <v>85</v>
      </c>
      <c r="J168">
        <v>80111101</v>
      </c>
      <c r="K168">
        <v>61021104</v>
      </c>
      <c r="P168" t="s">
        <v>85</v>
      </c>
    </row>
    <row r="169" spans="1:16" x14ac:dyDescent="0.35">
      <c r="A169" t="str">
        <f>_xlfn.XLOOKUP(I169,Sheet3!A:A,Sheet3!B:B)</f>
        <v>HR</v>
      </c>
      <c r="B169">
        <v>26</v>
      </c>
      <c r="C169">
        <f t="shared" si="2"/>
        <v>87</v>
      </c>
      <c r="D169" t="str">
        <f>A169&amp;-B169&amp;-C169</f>
        <v>HR-26-87</v>
      </c>
      <c r="E169" t="s">
        <v>267</v>
      </c>
      <c r="F169" s="4" t="s">
        <v>128</v>
      </c>
      <c r="G169" s="4" t="s">
        <v>222</v>
      </c>
      <c r="H169" s="4"/>
      <c r="I169" t="s">
        <v>85</v>
      </c>
      <c r="J169">
        <v>80111101</v>
      </c>
      <c r="K169">
        <v>61021104</v>
      </c>
      <c r="P169" t="s">
        <v>85</v>
      </c>
    </row>
    <row r="170" spans="1:16" x14ac:dyDescent="0.35">
      <c r="A170" t="str">
        <f>_xlfn.XLOOKUP(I170,Sheet3!A:A,Sheet3!B:B)</f>
        <v>HR</v>
      </c>
      <c r="B170">
        <v>26</v>
      </c>
      <c r="C170">
        <f t="shared" si="2"/>
        <v>88</v>
      </c>
      <c r="D170" t="str">
        <f>A170&amp;-B170&amp;-C170</f>
        <v>HR-26-88</v>
      </c>
      <c r="E170" t="s">
        <v>267</v>
      </c>
      <c r="F170" s="4" t="s">
        <v>124</v>
      </c>
      <c r="G170" s="4" t="s">
        <v>223</v>
      </c>
      <c r="H170" s="4"/>
      <c r="I170" t="s">
        <v>85</v>
      </c>
      <c r="J170">
        <v>90111101</v>
      </c>
      <c r="K170">
        <v>61021206</v>
      </c>
      <c r="P170" t="s">
        <v>85</v>
      </c>
    </row>
    <row r="171" spans="1:16" x14ac:dyDescent="0.35">
      <c r="A171" t="str">
        <f>_xlfn.XLOOKUP(I171,Sheet3!A:A,Sheet3!B:B)</f>
        <v>HR</v>
      </c>
      <c r="B171">
        <v>26</v>
      </c>
      <c r="C171">
        <f t="shared" si="2"/>
        <v>89</v>
      </c>
      <c r="D171" t="str">
        <f>A171&amp;-B171&amp;-C171</f>
        <v>HR-26-89</v>
      </c>
      <c r="E171" t="s">
        <v>267</v>
      </c>
      <c r="F171" s="4" t="s">
        <v>127</v>
      </c>
      <c r="G171" s="4" t="s">
        <v>221</v>
      </c>
      <c r="H171" s="4"/>
      <c r="I171" t="s">
        <v>85</v>
      </c>
      <c r="J171">
        <v>81111101</v>
      </c>
      <c r="K171">
        <v>52121103</v>
      </c>
      <c r="P171" t="s">
        <v>85</v>
      </c>
    </row>
    <row r="172" spans="1:16" x14ac:dyDescent="0.35">
      <c r="A172" t="str">
        <f>_xlfn.XLOOKUP(I172,Sheet3!A:A,Sheet3!B:B)</f>
        <v>HR</v>
      </c>
      <c r="B172">
        <v>26</v>
      </c>
      <c r="C172">
        <f t="shared" si="2"/>
        <v>90</v>
      </c>
      <c r="D172" t="str">
        <f>A172&amp;-B172&amp;-C172</f>
        <v>HR-26-90</v>
      </c>
      <c r="E172" t="s">
        <v>267</v>
      </c>
      <c r="F172" s="4" t="s">
        <v>126</v>
      </c>
      <c r="G172" s="4" t="s">
        <v>221</v>
      </c>
      <c r="H172" s="4"/>
      <c r="I172" t="s">
        <v>85</v>
      </c>
      <c r="J172">
        <v>81111101</v>
      </c>
      <c r="K172">
        <v>52121102</v>
      </c>
      <c r="P172" t="s">
        <v>85</v>
      </c>
    </row>
    <row r="173" spans="1:16" x14ac:dyDescent="0.35">
      <c r="A173" t="str">
        <f>_xlfn.XLOOKUP(I173,Sheet3!A:A,Sheet3!B:B)</f>
        <v>HR</v>
      </c>
      <c r="B173">
        <v>26</v>
      </c>
      <c r="C173">
        <f t="shared" si="2"/>
        <v>91</v>
      </c>
      <c r="D173" t="str">
        <f>A173&amp;-B173&amp;-C173</f>
        <v>HR-26-91</v>
      </c>
      <c r="E173" t="s">
        <v>267</v>
      </c>
      <c r="F173" s="4" t="s">
        <v>224</v>
      </c>
      <c r="G173" s="4" t="s">
        <v>223</v>
      </c>
      <c r="H173" s="4"/>
      <c r="I173" t="s">
        <v>85</v>
      </c>
      <c r="J173">
        <v>90111101</v>
      </c>
      <c r="K173">
        <v>52121303</v>
      </c>
      <c r="P173" t="s">
        <v>85</v>
      </c>
    </row>
    <row r="174" spans="1:16" x14ac:dyDescent="0.35">
      <c r="A174" t="str">
        <f>_xlfn.XLOOKUP(I174,Sheet3!A:A,Sheet3!B:B)</f>
        <v>HR</v>
      </c>
      <c r="B174">
        <v>26</v>
      </c>
      <c r="C174">
        <f t="shared" si="2"/>
        <v>92</v>
      </c>
      <c r="D174" t="str">
        <f>A174&amp;-B174&amp;-C174</f>
        <v>HR-26-92</v>
      </c>
      <c r="E174" t="s">
        <v>267</v>
      </c>
      <c r="F174" s="5" t="s">
        <v>349</v>
      </c>
      <c r="G174" s="5" t="s">
        <v>222</v>
      </c>
      <c r="I174" t="s">
        <v>85</v>
      </c>
      <c r="J174">
        <v>80111101</v>
      </c>
      <c r="K174">
        <v>61021202</v>
      </c>
      <c r="P174" t="s">
        <v>85</v>
      </c>
    </row>
    <row r="175" spans="1:16" x14ac:dyDescent="0.35">
      <c r="A175" t="str">
        <f>_xlfn.XLOOKUP(I175,Sheet3!A:A,Sheet3!B:B)</f>
        <v>HR</v>
      </c>
      <c r="B175">
        <v>26</v>
      </c>
      <c r="C175">
        <f t="shared" si="2"/>
        <v>93</v>
      </c>
      <c r="D175" t="str">
        <f>A175&amp;-B175&amp;-C175</f>
        <v>HR-26-93</v>
      </c>
      <c r="E175" t="s">
        <v>267</v>
      </c>
      <c r="F175" s="5" t="s">
        <v>349</v>
      </c>
      <c r="G175" s="5" t="s">
        <v>223</v>
      </c>
      <c r="I175" t="s">
        <v>85</v>
      </c>
      <c r="J175">
        <v>90111101</v>
      </c>
      <c r="K175">
        <v>52121202</v>
      </c>
      <c r="P175" t="s">
        <v>85</v>
      </c>
    </row>
    <row r="176" spans="1:16" x14ac:dyDescent="0.35">
      <c r="A176" t="str">
        <f>_xlfn.XLOOKUP(I176,Sheet3!A:A,Sheet3!B:B)</f>
        <v>HR</v>
      </c>
      <c r="B176">
        <v>26</v>
      </c>
      <c r="C176">
        <f t="shared" si="2"/>
        <v>94</v>
      </c>
      <c r="D176" t="str">
        <f>A176&amp;-B176&amp;-C176</f>
        <v>HR-26-94</v>
      </c>
      <c r="E176" s="4" t="s">
        <v>267</v>
      </c>
      <c r="F176" s="4" t="s">
        <v>152</v>
      </c>
      <c r="G176" s="4" t="s">
        <v>223</v>
      </c>
      <c r="H176" s="4"/>
      <c r="I176" t="s">
        <v>85</v>
      </c>
      <c r="J176">
        <v>90111101</v>
      </c>
      <c r="K176">
        <v>52121309</v>
      </c>
      <c r="P176" t="s">
        <v>85</v>
      </c>
    </row>
    <row r="177" spans="1:16" x14ac:dyDescent="0.35">
      <c r="A177" t="str">
        <f>_xlfn.XLOOKUP(I177,Sheet3!A:A,Sheet3!B:B)</f>
        <v>HR</v>
      </c>
      <c r="B177">
        <v>26</v>
      </c>
      <c r="C177">
        <f t="shared" si="2"/>
        <v>95</v>
      </c>
      <c r="D177" t="str">
        <f>A177&amp;-B177&amp;-C177</f>
        <v>HR-26-95</v>
      </c>
      <c r="E177" t="s">
        <v>267</v>
      </c>
      <c r="F177" s="4" t="s">
        <v>162</v>
      </c>
      <c r="G177" s="4" t="s">
        <v>223</v>
      </c>
      <c r="H177" s="4"/>
      <c r="I177" t="s">
        <v>85</v>
      </c>
      <c r="J177">
        <v>90111101</v>
      </c>
      <c r="K177">
        <v>52121301</v>
      </c>
      <c r="P177" t="s">
        <v>85</v>
      </c>
    </row>
    <row r="178" spans="1:16" x14ac:dyDescent="0.35">
      <c r="A178" t="str">
        <f>_xlfn.XLOOKUP(I178,Sheet3!A:A,Sheet3!B:B)</f>
        <v>HR</v>
      </c>
      <c r="B178">
        <v>26</v>
      </c>
      <c r="C178">
        <f t="shared" si="2"/>
        <v>96</v>
      </c>
      <c r="D178" t="str">
        <f>A178&amp;-B178&amp;-C178</f>
        <v>HR-26-96</v>
      </c>
      <c r="E178" s="4" t="s">
        <v>267</v>
      </c>
      <c r="F178" s="4" t="s">
        <v>147</v>
      </c>
      <c r="G178" s="4" t="s">
        <v>221</v>
      </c>
      <c r="H178" s="4"/>
      <c r="I178" t="s">
        <v>85</v>
      </c>
      <c r="J178">
        <v>81111101</v>
      </c>
      <c r="K178">
        <v>52121306</v>
      </c>
      <c r="P178" t="s">
        <v>85</v>
      </c>
    </row>
    <row r="179" spans="1:16" x14ac:dyDescent="0.35">
      <c r="A179" t="str">
        <f>_xlfn.XLOOKUP(I179,Sheet3!A:A,Sheet3!B:B)</f>
        <v>HR</v>
      </c>
      <c r="B179">
        <v>26</v>
      </c>
      <c r="C179">
        <f t="shared" si="2"/>
        <v>97</v>
      </c>
      <c r="D179" t="str">
        <f>A179&amp;-B179&amp;-C179</f>
        <v>HR-26-97</v>
      </c>
      <c r="E179" s="4" t="s">
        <v>267</v>
      </c>
      <c r="F179" s="4" t="s">
        <v>147</v>
      </c>
      <c r="G179" s="4" t="s">
        <v>222</v>
      </c>
      <c r="H179" s="4"/>
      <c r="I179" t="s">
        <v>85</v>
      </c>
      <c r="J179">
        <v>80111101</v>
      </c>
      <c r="K179">
        <v>61021307</v>
      </c>
      <c r="P179" t="s">
        <v>85</v>
      </c>
    </row>
    <row r="180" spans="1:16" x14ac:dyDescent="0.35">
      <c r="A180" t="str">
        <f>_xlfn.XLOOKUP(I180,Sheet3!A:A,Sheet3!B:B)</f>
        <v>HR</v>
      </c>
      <c r="B180">
        <v>26</v>
      </c>
      <c r="C180">
        <f t="shared" si="2"/>
        <v>98</v>
      </c>
      <c r="D180" t="str">
        <f>A180&amp;-B180&amp;-C180</f>
        <v>HR-26-98</v>
      </c>
      <c r="E180" s="4" t="s">
        <v>267</v>
      </c>
      <c r="F180" s="4" t="s">
        <v>147</v>
      </c>
      <c r="G180" s="4" t="s">
        <v>223</v>
      </c>
      <c r="H180" s="4"/>
      <c r="I180" t="s">
        <v>85</v>
      </c>
      <c r="J180">
        <v>90111101</v>
      </c>
      <c r="K180">
        <v>52121306</v>
      </c>
      <c r="P180" t="s">
        <v>85</v>
      </c>
    </row>
    <row r="181" spans="1:16" x14ac:dyDescent="0.35">
      <c r="A181" t="str">
        <f>_xlfn.XLOOKUP(I181,Sheet3!A:A,Sheet3!B:B)</f>
        <v>HR</v>
      </c>
      <c r="B181">
        <v>26</v>
      </c>
      <c r="C181">
        <f t="shared" si="2"/>
        <v>99</v>
      </c>
      <c r="D181" t="str">
        <f>A181&amp;-B181&amp;-C181</f>
        <v>HR-26-99</v>
      </c>
      <c r="E181" t="s">
        <v>362</v>
      </c>
      <c r="F181" s="5" t="s">
        <v>345</v>
      </c>
      <c r="I181" t="s">
        <v>85</v>
      </c>
      <c r="J181">
        <v>81111101</v>
      </c>
      <c r="K181">
        <v>52121101</v>
      </c>
      <c r="P181" t="s">
        <v>85</v>
      </c>
    </row>
    <row r="182" spans="1:16" x14ac:dyDescent="0.35">
      <c r="A182" t="str">
        <f>_xlfn.XLOOKUP(I182,Sheet3!A:A,Sheet3!B:B)</f>
        <v>HR</v>
      </c>
      <c r="B182">
        <v>26</v>
      </c>
      <c r="C182">
        <f t="shared" si="2"/>
        <v>100</v>
      </c>
      <c r="D182" t="str">
        <f>A182&amp;-B182&amp;-C182</f>
        <v>HR-26-100</v>
      </c>
      <c r="E182" t="s">
        <v>362</v>
      </c>
      <c r="F182" s="5" t="s">
        <v>345</v>
      </c>
      <c r="I182" t="s">
        <v>85</v>
      </c>
      <c r="J182">
        <v>80111101</v>
      </c>
      <c r="K182">
        <v>61021102</v>
      </c>
      <c r="P182" t="s">
        <v>85</v>
      </c>
    </row>
    <row r="183" spans="1:16" x14ac:dyDescent="0.35">
      <c r="A183" t="str">
        <f>_xlfn.XLOOKUP(I183,Sheet3!A:A,Sheet3!B:B)</f>
        <v>HR</v>
      </c>
      <c r="B183">
        <v>26</v>
      </c>
      <c r="C183">
        <f t="shared" si="2"/>
        <v>101</v>
      </c>
      <c r="D183" t="str">
        <f>A183&amp;-B183&amp;-C183</f>
        <v>HR-26-101</v>
      </c>
      <c r="E183" t="s">
        <v>362</v>
      </c>
      <c r="F183" s="5" t="s">
        <v>345</v>
      </c>
      <c r="I183" t="s">
        <v>85</v>
      </c>
      <c r="J183">
        <v>90111101</v>
      </c>
      <c r="K183">
        <v>52121101</v>
      </c>
      <c r="P183" t="s">
        <v>85</v>
      </c>
    </row>
    <row r="184" spans="1:16" x14ac:dyDescent="0.35">
      <c r="A184" t="str">
        <f>_xlfn.XLOOKUP(I184,Sheet3!A:A,Sheet3!B:B)</f>
        <v>HR</v>
      </c>
      <c r="B184">
        <v>26</v>
      </c>
      <c r="C184">
        <f t="shared" si="2"/>
        <v>102</v>
      </c>
      <c r="D184" t="str">
        <f>A184&amp;-B184&amp;-C184</f>
        <v>HR-26-102</v>
      </c>
      <c r="E184" t="s">
        <v>362</v>
      </c>
      <c r="F184" t="s">
        <v>364</v>
      </c>
      <c r="G184" s="5" t="s">
        <v>221</v>
      </c>
      <c r="H184"/>
      <c r="I184" t="s">
        <v>85</v>
      </c>
      <c r="J184">
        <v>81111101</v>
      </c>
      <c r="K184">
        <v>52121305</v>
      </c>
      <c r="P184" t="s">
        <v>85</v>
      </c>
    </row>
    <row r="185" spans="1:16" x14ac:dyDescent="0.35">
      <c r="A185" t="str">
        <f>_xlfn.XLOOKUP(I185,Sheet3!A:A,Sheet3!B:B)</f>
        <v>HR</v>
      </c>
      <c r="B185">
        <v>26</v>
      </c>
      <c r="C185">
        <f t="shared" si="2"/>
        <v>103</v>
      </c>
      <c r="D185" t="str">
        <f>A185&amp;-B185&amp;-C185</f>
        <v>HR-26-103</v>
      </c>
      <c r="E185" t="s">
        <v>362</v>
      </c>
      <c r="F185" t="s">
        <v>364</v>
      </c>
      <c r="G185" s="5" t="s">
        <v>222</v>
      </c>
      <c r="H185"/>
      <c r="I185" t="s">
        <v>85</v>
      </c>
      <c r="J185">
        <v>80111101</v>
      </c>
      <c r="K185">
        <v>61021306</v>
      </c>
      <c r="P185" t="s">
        <v>85</v>
      </c>
    </row>
    <row r="186" spans="1:16" x14ac:dyDescent="0.35">
      <c r="A186" t="str">
        <f>_xlfn.XLOOKUP(I186,Sheet3!A:A,Sheet3!B:B)</f>
        <v>HR</v>
      </c>
      <c r="B186">
        <v>26</v>
      </c>
      <c r="C186">
        <f t="shared" si="2"/>
        <v>104</v>
      </c>
      <c r="D186" t="str">
        <f>A186&amp;-B186&amp;-C186</f>
        <v>HR-26-104</v>
      </c>
      <c r="E186" t="s">
        <v>362</v>
      </c>
      <c r="F186" t="s">
        <v>364</v>
      </c>
      <c r="G186" s="5" t="s">
        <v>223</v>
      </c>
      <c r="H186"/>
      <c r="I186" t="s">
        <v>85</v>
      </c>
      <c r="J186">
        <v>90111101</v>
      </c>
      <c r="K186">
        <v>52121305</v>
      </c>
      <c r="P186" t="s">
        <v>85</v>
      </c>
    </row>
    <row r="187" spans="1:16" x14ac:dyDescent="0.35">
      <c r="A187" t="str">
        <f>_xlfn.XLOOKUP(I187,Sheet3!A:A,Sheet3!B:B)</f>
        <v>HR</v>
      </c>
      <c r="B187">
        <v>26</v>
      </c>
      <c r="C187">
        <f t="shared" si="2"/>
        <v>105</v>
      </c>
      <c r="D187" t="str">
        <f>A187&amp;-B187&amp;-C187</f>
        <v>HR-26-105</v>
      </c>
      <c r="E187" t="s">
        <v>362</v>
      </c>
      <c r="F187" t="s">
        <v>365</v>
      </c>
      <c r="G187" s="5" t="s">
        <v>221</v>
      </c>
      <c r="H187"/>
      <c r="I187" t="s">
        <v>85</v>
      </c>
      <c r="J187">
        <v>81111101</v>
      </c>
      <c r="K187">
        <v>52121305</v>
      </c>
      <c r="P187" t="s">
        <v>85</v>
      </c>
    </row>
    <row r="188" spans="1:16" x14ac:dyDescent="0.35">
      <c r="A188" t="str">
        <f>_xlfn.XLOOKUP(I188,Sheet3!A:A,Sheet3!B:B)</f>
        <v>HR</v>
      </c>
      <c r="B188">
        <v>26</v>
      </c>
      <c r="C188">
        <f t="shared" si="2"/>
        <v>106</v>
      </c>
      <c r="D188" t="str">
        <f>A188&amp;-B188&amp;-C188</f>
        <v>HR-26-106</v>
      </c>
      <c r="E188" t="s">
        <v>362</v>
      </c>
      <c r="F188" t="s">
        <v>365</v>
      </c>
      <c r="G188" s="5" t="s">
        <v>222</v>
      </c>
      <c r="H188"/>
      <c r="I188" t="s">
        <v>85</v>
      </c>
      <c r="J188">
        <v>80111101</v>
      </c>
      <c r="K188">
        <v>61021306</v>
      </c>
      <c r="P188" t="s">
        <v>85</v>
      </c>
    </row>
    <row r="189" spans="1:16" x14ac:dyDescent="0.35">
      <c r="A189" t="str">
        <f>_xlfn.XLOOKUP(I189,Sheet3!A:A,Sheet3!B:B)</f>
        <v>HR</v>
      </c>
      <c r="B189">
        <v>26</v>
      </c>
      <c r="C189">
        <f t="shared" si="2"/>
        <v>107</v>
      </c>
      <c r="D189" t="str">
        <f>A189&amp;-B189&amp;-C189</f>
        <v>HR-26-107</v>
      </c>
      <c r="E189" t="s">
        <v>362</v>
      </c>
      <c r="F189" t="s">
        <v>365</v>
      </c>
      <c r="G189" s="5" t="s">
        <v>223</v>
      </c>
      <c r="H189"/>
      <c r="I189" t="s">
        <v>85</v>
      </c>
      <c r="J189">
        <v>90111101</v>
      </c>
      <c r="K189">
        <v>52121305</v>
      </c>
      <c r="P189" t="s">
        <v>85</v>
      </c>
    </row>
    <row r="190" spans="1:16" x14ac:dyDescent="0.35">
      <c r="A190" t="str">
        <f>_xlfn.XLOOKUP(I190,Sheet3!A:A,Sheet3!B:B)</f>
        <v>HR</v>
      </c>
      <c r="B190">
        <v>26</v>
      </c>
      <c r="C190">
        <f t="shared" si="2"/>
        <v>108</v>
      </c>
      <c r="D190" t="str">
        <f>A190&amp;-B190&amp;-C190</f>
        <v>HR-26-108</v>
      </c>
      <c r="E190" t="s">
        <v>362</v>
      </c>
      <c r="F190" t="s">
        <v>363</v>
      </c>
      <c r="G190" s="5" t="s">
        <v>221</v>
      </c>
      <c r="H190"/>
      <c r="I190" t="s">
        <v>85</v>
      </c>
      <c r="J190">
        <v>81111101</v>
      </c>
      <c r="K190">
        <v>52121305</v>
      </c>
      <c r="P190" t="s">
        <v>85</v>
      </c>
    </row>
    <row r="191" spans="1:16" x14ac:dyDescent="0.35">
      <c r="A191" t="str">
        <f>_xlfn.XLOOKUP(I191,Sheet3!A:A,Sheet3!B:B)</f>
        <v>HR</v>
      </c>
      <c r="B191">
        <v>26</v>
      </c>
      <c r="C191">
        <f t="shared" si="2"/>
        <v>109</v>
      </c>
      <c r="D191" t="str">
        <f>A191&amp;-B191&amp;-C191</f>
        <v>HR-26-109</v>
      </c>
      <c r="E191" t="s">
        <v>362</v>
      </c>
      <c r="F191" t="s">
        <v>363</v>
      </c>
      <c r="G191" s="5" t="s">
        <v>222</v>
      </c>
      <c r="H191"/>
      <c r="I191" t="s">
        <v>85</v>
      </c>
      <c r="J191">
        <v>80111101</v>
      </c>
      <c r="K191">
        <v>61021306</v>
      </c>
      <c r="P191" t="s">
        <v>85</v>
      </c>
    </row>
    <row r="192" spans="1:16" x14ac:dyDescent="0.35">
      <c r="A192" t="str">
        <f>_xlfn.XLOOKUP(I192,Sheet3!A:A,Sheet3!B:B)</f>
        <v>HR</v>
      </c>
      <c r="B192">
        <v>26</v>
      </c>
      <c r="C192">
        <f t="shared" si="2"/>
        <v>110</v>
      </c>
      <c r="D192" t="str">
        <f>A192&amp;-B192&amp;-C192</f>
        <v>HR-26-110</v>
      </c>
      <c r="E192" t="s">
        <v>362</v>
      </c>
      <c r="F192" t="s">
        <v>363</v>
      </c>
      <c r="G192" s="5" t="s">
        <v>223</v>
      </c>
      <c r="H192"/>
      <c r="I192" t="s">
        <v>85</v>
      </c>
      <c r="J192">
        <v>90111101</v>
      </c>
      <c r="K192">
        <v>52121305</v>
      </c>
      <c r="P192" t="s">
        <v>85</v>
      </c>
    </row>
    <row r="193" spans="1:16" x14ac:dyDescent="0.35">
      <c r="A193" t="str">
        <f>_xlfn.XLOOKUP(I193,Sheet3!A:A,Sheet3!B:B)</f>
        <v>HR</v>
      </c>
      <c r="B193">
        <v>26</v>
      </c>
      <c r="C193">
        <f t="shared" si="2"/>
        <v>111</v>
      </c>
      <c r="D193" t="str">
        <f>A193&amp;-B193&amp;-C193</f>
        <v>HR-26-111</v>
      </c>
      <c r="E193" t="s">
        <v>362</v>
      </c>
      <c r="F193" s="5" t="s">
        <v>346</v>
      </c>
      <c r="I193" t="s">
        <v>85</v>
      </c>
      <c r="J193">
        <v>81111101</v>
      </c>
      <c r="K193">
        <v>52121104</v>
      </c>
      <c r="P193" t="s">
        <v>85</v>
      </c>
    </row>
    <row r="194" spans="1:16" x14ac:dyDescent="0.35">
      <c r="A194" t="str">
        <f>_xlfn.XLOOKUP(I194,Sheet3!A:A,Sheet3!B:B)</f>
        <v>HR</v>
      </c>
      <c r="B194">
        <v>26</v>
      </c>
      <c r="C194">
        <f t="shared" si="2"/>
        <v>112</v>
      </c>
      <c r="D194" t="str">
        <f>A194&amp;-B194&amp;-C194</f>
        <v>HR-26-112</v>
      </c>
      <c r="E194" t="s">
        <v>362</v>
      </c>
      <c r="F194" s="5" t="s">
        <v>346</v>
      </c>
      <c r="I194" t="s">
        <v>85</v>
      </c>
      <c r="J194">
        <v>80111101</v>
      </c>
      <c r="K194">
        <v>61021105</v>
      </c>
      <c r="P194" t="s">
        <v>85</v>
      </c>
    </row>
    <row r="195" spans="1:16" x14ac:dyDescent="0.35">
      <c r="A195" t="str">
        <f>_xlfn.XLOOKUP(I195,Sheet3!A:A,Sheet3!B:B)</f>
        <v>HR</v>
      </c>
      <c r="B195">
        <v>26</v>
      </c>
      <c r="C195">
        <f t="shared" si="2"/>
        <v>113</v>
      </c>
      <c r="D195" t="str">
        <f>A195&amp;-B195&amp;-C195</f>
        <v>HR-26-113</v>
      </c>
      <c r="E195" t="s">
        <v>362</v>
      </c>
      <c r="F195" s="5" t="s">
        <v>346</v>
      </c>
      <c r="I195" t="s">
        <v>85</v>
      </c>
      <c r="J195">
        <v>90111101</v>
      </c>
      <c r="K195">
        <v>52121104</v>
      </c>
      <c r="P195" t="s">
        <v>85</v>
      </c>
    </row>
    <row r="196" spans="1:16" x14ac:dyDescent="0.35">
      <c r="A196" t="str">
        <f>_xlfn.XLOOKUP(I196,Sheet3!A:A,Sheet3!B:B)</f>
        <v>HR</v>
      </c>
      <c r="B196">
        <v>26</v>
      </c>
      <c r="C196">
        <f t="shared" si="2"/>
        <v>114</v>
      </c>
      <c r="D196" t="str">
        <f>A196&amp;-B196&amp;-C196</f>
        <v>HR-26-114</v>
      </c>
      <c r="E196" t="s">
        <v>362</v>
      </c>
      <c r="F196" s="5" t="s">
        <v>347</v>
      </c>
      <c r="I196" t="s">
        <v>85</v>
      </c>
      <c r="J196">
        <v>81111101</v>
      </c>
      <c r="K196">
        <v>52041495</v>
      </c>
      <c r="P196" t="s">
        <v>85</v>
      </c>
    </row>
    <row r="197" spans="1:16" x14ac:dyDescent="0.35">
      <c r="A197" t="str">
        <f>_xlfn.XLOOKUP(I197,Sheet3!A:A,Sheet3!B:B)</f>
        <v>HR</v>
      </c>
      <c r="B197">
        <v>26</v>
      </c>
      <c r="C197">
        <f t="shared" si="2"/>
        <v>115</v>
      </c>
      <c r="D197" t="str">
        <f>A197&amp;-B197&amp;-C197</f>
        <v>HR-26-115</v>
      </c>
      <c r="E197" t="s">
        <v>362</v>
      </c>
      <c r="F197" s="5" t="s">
        <v>348</v>
      </c>
      <c r="G197" s="5" t="s">
        <v>222</v>
      </c>
      <c r="I197" t="s">
        <v>85</v>
      </c>
      <c r="J197">
        <v>80111101</v>
      </c>
      <c r="K197">
        <v>61021201</v>
      </c>
      <c r="P197" t="s">
        <v>85</v>
      </c>
    </row>
    <row r="198" spans="1:16" x14ac:dyDescent="0.35">
      <c r="A198" t="str">
        <f>_xlfn.XLOOKUP(I198,Sheet3!A:A,Sheet3!B:B)</f>
        <v>HR</v>
      </c>
      <c r="B198">
        <v>26</v>
      </c>
      <c r="C198">
        <f t="shared" si="2"/>
        <v>116</v>
      </c>
      <c r="D198" t="str">
        <f>A198&amp;-B198&amp;-C198</f>
        <v>HR-26-116</v>
      </c>
      <c r="E198" t="s">
        <v>362</v>
      </c>
      <c r="F198" s="5" t="s">
        <v>348</v>
      </c>
      <c r="G198" s="5" t="s">
        <v>223</v>
      </c>
      <c r="I198" t="s">
        <v>85</v>
      </c>
      <c r="J198">
        <v>90111101</v>
      </c>
      <c r="K198">
        <v>52121201</v>
      </c>
      <c r="P198" t="s">
        <v>85</v>
      </c>
    </row>
    <row r="199" spans="1:16" ht="29" x14ac:dyDescent="0.35">
      <c r="A199" t="str">
        <f>_xlfn.XLOOKUP(I199,Sheet3!A:A,Sheet3!B:B)</f>
        <v>HR</v>
      </c>
      <c r="B199">
        <v>26</v>
      </c>
      <c r="C199">
        <f t="shared" si="2"/>
        <v>117</v>
      </c>
      <c r="D199" t="str">
        <f>A199&amp;-B199&amp;-C199</f>
        <v>HR-26-117</v>
      </c>
      <c r="E199" t="s">
        <v>362</v>
      </c>
      <c r="F199" s="5" t="s">
        <v>350</v>
      </c>
      <c r="G199" s="5" t="s">
        <v>222</v>
      </c>
      <c r="I199" t="s">
        <v>85</v>
      </c>
      <c r="J199">
        <v>80111101</v>
      </c>
      <c r="K199">
        <v>61021203</v>
      </c>
      <c r="P199" t="s">
        <v>85</v>
      </c>
    </row>
    <row r="200" spans="1:16" ht="29" x14ac:dyDescent="0.35">
      <c r="A200" t="str">
        <f>_xlfn.XLOOKUP(I200,Sheet3!A:A,Sheet3!B:B)</f>
        <v>HR</v>
      </c>
      <c r="B200">
        <v>26</v>
      </c>
      <c r="C200">
        <f t="shared" si="2"/>
        <v>118</v>
      </c>
      <c r="D200" t="str">
        <f>A200&amp;-B200&amp;-C200</f>
        <v>HR-26-118</v>
      </c>
      <c r="E200" t="s">
        <v>362</v>
      </c>
      <c r="F200" s="5" t="s">
        <v>350</v>
      </c>
      <c r="G200" s="5" t="s">
        <v>223</v>
      </c>
      <c r="I200" t="s">
        <v>85</v>
      </c>
      <c r="J200">
        <v>90111101</v>
      </c>
      <c r="K200">
        <v>52121203</v>
      </c>
      <c r="P200" t="s">
        <v>85</v>
      </c>
    </row>
    <row r="201" spans="1:16" x14ac:dyDescent="0.35">
      <c r="A201" t="str">
        <f>_xlfn.XLOOKUP(I201,Sheet3!A:A,Sheet3!B:B)</f>
        <v>HR</v>
      </c>
      <c r="B201">
        <v>26</v>
      </c>
      <c r="C201">
        <f t="shared" si="2"/>
        <v>119</v>
      </c>
      <c r="D201" t="str">
        <f>A201&amp;-B201&amp;-C201</f>
        <v>HR-26-119</v>
      </c>
      <c r="E201" t="s">
        <v>269</v>
      </c>
      <c r="F201" s="5" t="s">
        <v>415</v>
      </c>
      <c r="I201" t="s">
        <v>85</v>
      </c>
      <c r="J201">
        <v>81122101</v>
      </c>
      <c r="K201">
        <v>52952101</v>
      </c>
    </row>
    <row r="202" spans="1:16" x14ac:dyDescent="0.35">
      <c r="A202" t="str">
        <f>_xlfn.XLOOKUP(I202,Sheet3!A:A,Sheet3!B:B)</f>
        <v>HR</v>
      </c>
      <c r="B202">
        <v>26</v>
      </c>
      <c r="C202">
        <f t="shared" si="2"/>
        <v>120</v>
      </c>
      <c r="D202" t="str">
        <f>A202&amp;-B202&amp;-C202</f>
        <v>HR-26-120</v>
      </c>
      <c r="E202" t="s">
        <v>269</v>
      </c>
      <c r="F202" s="4" t="s">
        <v>283</v>
      </c>
      <c r="G202" s="4"/>
      <c r="H202" s="4"/>
      <c r="I202" t="s">
        <v>85</v>
      </c>
      <c r="J202">
        <v>81122101</v>
      </c>
      <c r="K202">
        <v>52952101</v>
      </c>
    </row>
    <row r="203" spans="1:16" x14ac:dyDescent="0.35">
      <c r="A203" t="str">
        <f>_xlfn.XLOOKUP(I203,Sheet3!A:A,Sheet3!B:B)</f>
        <v>HR</v>
      </c>
      <c r="B203">
        <v>26</v>
      </c>
      <c r="C203">
        <f t="shared" si="2"/>
        <v>121</v>
      </c>
      <c r="D203" t="str">
        <f>A203&amp;-B203&amp;-C203</f>
        <v>HR-26-121</v>
      </c>
      <c r="E203" t="s">
        <v>269</v>
      </c>
      <c r="F203" s="4" t="s">
        <v>158</v>
      </c>
      <c r="G203" s="4"/>
      <c r="H203" s="4"/>
      <c r="I203" t="s">
        <v>85</v>
      </c>
      <c r="J203">
        <v>81122101</v>
      </c>
      <c r="K203">
        <v>52952101</v>
      </c>
    </row>
    <row r="204" spans="1:16" x14ac:dyDescent="0.35">
      <c r="A204" t="str">
        <f>_xlfn.XLOOKUP(I204,Sheet3!A:A,Sheet3!B:B)</f>
        <v>HR</v>
      </c>
      <c r="B204">
        <v>26</v>
      </c>
      <c r="C204">
        <f t="shared" si="2"/>
        <v>122</v>
      </c>
      <c r="D204" t="str">
        <f>A204&amp;-B204&amp;-C204</f>
        <v>HR-26-122</v>
      </c>
      <c r="E204" t="s">
        <v>269</v>
      </c>
      <c r="F204" s="4" t="s">
        <v>155</v>
      </c>
      <c r="G204" s="4"/>
      <c r="H204" s="4"/>
      <c r="I204" t="s">
        <v>85</v>
      </c>
      <c r="J204">
        <v>81122101</v>
      </c>
      <c r="K204">
        <v>52952101</v>
      </c>
    </row>
    <row r="205" spans="1:16" ht="29" x14ac:dyDescent="0.35">
      <c r="A205" t="str">
        <f>_xlfn.XLOOKUP(I205,Sheet3!A:A,Sheet3!B:B)</f>
        <v>HR</v>
      </c>
      <c r="B205">
        <v>26</v>
      </c>
      <c r="C205">
        <f t="shared" si="2"/>
        <v>123</v>
      </c>
      <c r="D205" t="str">
        <f>A205&amp;-B205&amp;-C205</f>
        <v>HR-26-123</v>
      </c>
      <c r="E205" t="s">
        <v>269</v>
      </c>
      <c r="F205" s="5" t="s">
        <v>416</v>
      </c>
      <c r="I205" t="s">
        <v>85</v>
      </c>
      <c r="J205">
        <v>81122101</v>
      </c>
      <c r="K205">
        <v>52952101</v>
      </c>
    </row>
    <row r="206" spans="1:16" x14ac:dyDescent="0.35">
      <c r="A206" t="str">
        <f>_xlfn.XLOOKUP(I206,Sheet3!A:A,Sheet3!B:B)</f>
        <v>HR</v>
      </c>
      <c r="B206">
        <v>26</v>
      </c>
      <c r="C206">
        <f t="shared" si="2"/>
        <v>124</v>
      </c>
      <c r="D206" t="str">
        <f>A206&amp;-B206&amp;-C206</f>
        <v>HR-26-124</v>
      </c>
      <c r="E206" t="s">
        <v>269</v>
      </c>
      <c r="F206" s="4" t="s">
        <v>156</v>
      </c>
      <c r="G206" s="4"/>
      <c r="H206" s="4"/>
      <c r="I206" t="s">
        <v>85</v>
      </c>
      <c r="J206">
        <v>81122101</v>
      </c>
      <c r="K206">
        <v>52952101</v>
      </c>
    </row>
    <row r="207" spans="1:16" x14ac:dyDescent="0.35">
      <c r="A207" t="str">
        <f>_xlfn.XLOOKUP(I207,Sheet3!A:A,Sheet3!B:B)</f>
        <v>HR</v>
      </c>
      <c r="B207">
        <v>26</v>
      </c>
      <c r="C207">
        <f t="shared" si="2"/>
        <v>125</v>
      </c>
      <c r="D207" t="str">
        <f>A207&amp;-B207&amp;-C207</f>
        <v>HR-26-125</v>
      </c>
      <c r="E207" t="s">
        <v>269</v>
      </c>
      <c r="F207" s="4" t="s">
        <v>282</v>
      </c>
      <c r="G207" s="4"/>
      <c r="H207" s="4"/>
      <c r="I207" t="s">
        <v>85</v>
      </c>
      <c r="J207">
        <v>81122101</v>
      </c>
      <c r="K207">
        <v>52952101</v>
      </c>
    </row>
    <row r="208" spans="1:16" x14ac:dyDescent="0.35">
      <c r="A208" t="str">
        <f>_xlfn.XLOOKUP(I208,Sheet3!A:A,Sheet3!B:B)</f>
        <v>HR</v>
      </c>
      <c r="B208">
        <v>26</v>
      </c>
      <c r="C208">
        <f t="shared" si="2"/>
        <v>126</v>
      </c>
      <c r="D208" t="str">
        <f>A208&amp;-B208&amp;-C208</f>
        <v>HR-26-126</v>
      </c>
      <c r="E208" t="s">
        <v>269</v>
      </c>
      <c r="F208" s="4" t="s">
        <v>157</v>
      </c>
      <c r="G208" s="4"/>
      <c r="H208" s="4"/>
      <c r="I208" t="s">
        <v>85</v>
      </c>
      <c r="J208">
        <v>81122101</v>
      </c>
      <c r="K208">
        <v>52952101</v>
      </c>
    </row>
    <row r="209" spans="1:16" ht="29" x14ac:dyDescent="0.35">
      <c r="A209" t="str">
        <f>_xlfn.XLOOKUP(I209,Sheet3!A:A,Sheet3!B:B)</f>
        <v>HR</v>
      </c>
      <c r="B209">
        <v>26</v>
      </c>
      <c r="C209">
        <f t="shared" si="2"/>
        <v>127</v>
      </c>
      <c r="D209" t="str">
        <f>A209&amp;-B209&amp;-C209</f>
        <v>HR-26-127</v>
      </c>
      <c r="E209" t="s">
        <v>269</v>
      </c>
      <c r="F209" s="5" t="s">
        <v>285</v>
      </c>
      <c r="I209" s="5" t="s">
        <v>85</v>
      </c>
      <c r="J209">
        <v>81134102</v>
      </c>
      <c r="K209">
        <v>52952101</v>
      </c>
    </row>
    <row r="210" spans="1:16" x14ac:dyDescent="0.35">
      <c r="A210" t="str">
        <f>_xlfn.XLOOKUP(I210,Sheet3!A:A,Sheet3!B:B)</f>
        <v>HR</v>
      </c>
      <c r="B210">
        <v>26</v>
      </c>
      <c r="C210">
        <f t="shared" si="2"/>
        <v>128</v>
      </c>
      <c r="D210" t="str">
        <f>A210&amp;-B210&amp;-C210</f>
        <v>HR-26-128</v>
      </c>
      <c r="E210" t="s">
        <v>269</v>
      </c>
      <c r="F210" s="4" t="s">
        <v>159</v>
      </c>
      <c r="G210" s="4"/>
      <c r="H210" s="4"/>
      <c r="I210" t="s">
        <v>85</v>
      </c>
      <c r="J210">
        <v>81122101</v>
      </c>
      <c r="K210">
        <v>52952101</v>
      </c>
    </row>
    <row r="211" spans="1:16" x14ac:dyDescent="0.35">
      <c r="A211" t="str">
        <f>_xlfn.XLOOKUP(I211,Sheet3!A:A,Sheet3!B:B)</f>
        <v>HR</v>
      </c>
      <c r="B211">
        <v>26</v>
      </c>
      <c r="C211">
        <f t="shared" si="2"/>
        <v>129</v>
      </c>
      <c r="D211" t="str">
        <f>A211&amp;-B211&amp;-C211</f>
        <v>HR-26-129</v>
      </c>
      <c r="E211" t="s">
        <v>131</v>
      </c>
      <c r="F211" s="4" t="s">
        <v>161</v>
      </c>
      <c r="G211" s="4"/>
      <c r="H211" s="4"/>
      <c r="I211" t="s">
        <v>85</v>
      </c>
      <c r="J211">
        <v>81122101</v>
      </c>
      <c r="K211">
        <v>52121315</v>
      </c>
      <c r="P211" t="s">
        <v>85</v>
      </c>
    </row>
    <row r="212" spans="1:16" x14ac:dyDescent="0.35">
      <c r="A212" t="str">
        <f>_xlfn.XLOOKUP(I212,Sheet3!A:A,Sheet3!B:B)</f>
        <v>HR</v>
      </c>
      <c r="B212">
        <v>26</v>
      </c>
      <c r="C212">
        <f t="shared" si="2"/>
        <v>130</v>
      </c>
      <c r="D212" t="str">
        <f>A212&amp;-B212&amp;-C212</f>
        <v>HR-26-130</v>
      </c>
      <c r="E212" t="s">
        <v>131</v>
      </c>
      <c r="F212" s="4" t="s">
        <v>336</v>
      </c>
      <c r="G212" s="4"/>
      <c r="H212" s="4"/>
      <c r="I212" t="s">
        <v>85</v>
      </c>
      <c r="J212">
        <v>81122101</v>
      </c>
      <c r="K212">
        <v>52121315</v>
      </c>
      <c r="P212" t="s">
        <v>85</v>
      </c>
    </row>
    <row r="213" spans="1:16" x14ac:dyDescent="0.35">
      <c r="A213" t="str">
        <f>_xlfn.XLOOKUP(I213,Sheet3!A:A,Sheet3!B:B)</f>
        <v>HR</v>
      </c>
      <c r="B213">
        <v>26</v>
      </c>
      <c r="C213">
        <f t="shared" ref="C213:C227" si="3">C212+1</f>
        <v>131</v>
      </c>
      <c r="D213" t="str">
        <f>A213&amp;-B213&amp;-C213</f>
        <v>HR-26-131</v>
      </c>
      <c r="E213" s="4" t="s">
        <v>131</v>
      </c>
      <c r="F213" s="4" t="s">
        <v>138</v>
      </c>
      <c r="G213" s="4"/>
      <c r="H213" s="4"/>
      <c r="I213" t="s">
        <v>85</v>
      </c>
      <c r="J213">
        <v>81122101</v>
      </c>
      <c r="K213">
        <v>52121315</v>
      </c>
      <c r="P213" t="s">
        <v>85</v>
      </c>
    </row>
    <row r="214" spans="1:16" x14ac:dyDescent="0.35">
      <c r="A214" t="str">
        <f>_xlfn.XLOOKUP(I214,Sheet3!A:A,Sheet3!B:B)</f>
        <v>HR</v>
      </c>
      <c r="B214">
        <v>26</v>
      </c>
      <c r="C214">
        <f t="shared" si="3"/>
        <v>132</v>
      </c>
      <c r="D214" t="str">
        <f>A214&amp;-B214&amp;-C214</f>
        <v>HR-26-132</v>
      </c>
      <c r="E214" t="s">
        <v>131</v>
      </c>
      <c r="F214" s="4" t="s">
        <v>334</v>
      </c>
      <c r="G214" s="4"/>
      <c r="H214" s="4"/>
      <c r="I214" t="s">
        <v>85</v>
      </c>
      <c r="J214">
        <v>81122101</v>
      </c>
      <c r="K214">
        <v>52121315</v>
      </c>
      <c r="P214" t="s">
        <v>85</v>
      </c>
    </row>
    <row r="215" spans="1:16" x14ac:dyDescent="0.35">
      <c r="A215" t="str">
        <f>_xlfn.XLOOKUP(I215,Sheet3!A:A,Sheet3!B:B)</f>
        <v>HR</v>
      </c>
      <c r="B215">
        <v>26</v>
      </c>
      <c r="C215">
        <f t="shared" si="3"/>
        <v>133</v>
      </c>
      <c r="D215" t="str">
        <f>A215&amp;-B215&amp;-C215</f>
        <v>HR-26-133</v>
      </c>
      <c r="E215" t="s">
        <v>131</v>
      </c>
      <c r="F215" s="4" t="s">
        <v>335</v>
      </c>
      <c r="G215" s="4"/>
      <c r="H215" s="4"/>
      <c r="I215" t="s">
        <v>85</v>
      </c>
      <c r="J215">
        <v>81122101</v>
      </c>
      <c r="K215">
        <v>52121315</v>
      </c>
      <c r="P215" t="s">
        <v>85</v>
      </c>
    </row>
    <row r="216" spans="1:16" x14ac:dyDescent="0.35">
      <c r="A216" t="str">
        <f>_xlfn.XLOOKUP(I216,Sheet3!A:A,Sheet3!B:B)</f>
        <v>HR</v>
      </c>
      <c r="B216">
        <v>26</v>
      </c>
      <c r="C216">
        <f t="shared" si="3"/>
        <v>134</v>
      </c>
      <c r="D216" t="str">
        <f>A216&amp;-B216&amp;-C216</f>
        <v>HR-26-134</v>
      </c>
      <c r="E216" t="s">
        <v>131</v>
      </c>
      <c r="F216" s="4" t="s">
        <v>160</v>
      </c>
      <c r="G216" s="4"/>
      <c r="H216" s="4"/>
      <c r="I216" t="s">
        <v>85</v>
      </c>
      <c r="J216">
        <v>81122101</v>
      </c>
      <c r="K216">
        <v>52121315</v>
      </c>
      <c r="P216" t="s">
        <v>85</v>
      </c>
    </row>
    <row r="217" spans="1:16" x14ac:dyDescent="0.35">
      <c r="A217" t="str">
        <f>_xlfn.XLOOKUP(I217,Sheet3!A:A,Sheet3!B:B)</f>
        <v>HR</v>
      </c>
      <c r="B217">
        <v>26</v>
      </c>
      <c r="C217">
        <f t="shared" si="3"/>
        <v>135</v>
      </c>
      <c r="D217" t="str">
        <f>A217&amp;-B217&amp;-C217</f>
        <v>HR-26-135</v>
      </c>
      <c r="E217" s="4" t="s">
        <v>131</v>
      </c>
      <c r="F217" s="4" t="s">
        <v>137</v>
      </c>
      <c r="G217" s="4"/>
      <c r="H217" s="4"/>
      <c r="I217" t="s">
        <v>85</v>
      </c>
      <c r="J217">
        <v>81122101</v>
      </c>
      <c r="K217">
        <v>52121315</v>
      </c>
      <c r="P217" t="s">
        <v>85</v>
      </c>
    </row>
    <row r="218" spans="1:16" x14ac:dyDescent="0.35">
      <c r="A218" t="str">
        <f>_xlfn.XLOOKUP(I218,Sheet3!A:A,Sheet3!B:B)</f>
        <v>HR</v>
      </c>
      <c r="B218">
        <v>26</v>
      </c>
      <c r="C218">
        <f t="shared" si="3"/>
        <v>136</v>
      </c>
      <c r="D218" t="str">
        <f>A218&amp;-B218&amp;-C218</f>
        <v>HR-26-136</v>
      </c>
      <c r="E218" t="s">
        <v>131</v>
      </c>
      <c r="F218" s="4" t="s">
        <v>78</v>
      </c>
      <c r="G218" s="4"/>
      <c r="H218" s="4"/>
      <c r="I218" t="s">
        <v>85</v>
      </c>
      <c r="J218">
        <v>81122101</v>
      </c>
      <c r="K218">
        <v>52121315</v>
      </c>
      <c r="L218" t="s">
        <v>399</v>
      </c>
      <c r="M218" t="s">
        <v>400</v>
      </c>
      <c r="N218" t="s">
        <v>411</v>
      </c>
      <c r="P218" t="s">
        <v>85</v>
      </c>
    </row>
    <row r="219" spans="1:16" x14ac:dyDescent="0.35">
      <c r="A219" t="str">
        <f>_xlfn.XLOOKUP(I219,Sheet3!A:A,Sheet3!B:B)</f>
        <v>HR</v>
      </c>
      <c r="B219">
        <v>26</v>
      </c>
      <c r="C219">
        <f t="shared" si="3"/>
        <v>137</v>
      </c>
      <c r="D219" t="str">
        <f>A219&amp;-B219&amp;-C219</f>
        <v>HR-26-137</v>
      </c>
      <c r="E219" t="s">
        <v>131</v>
      </c>
      <c r="F219" s="4" t="s">
        <v>139</v>
      </c>
      <c r="G219" s="4"/>
      <c r="H219" s="4"/>
      <c r="I219" t="s">
        <v>85</v>
      </c>
      <c r="J219">
        <v>81122101</v>
      </c>
      <c r="K219">
        <v>52121315</v>
      </c>
      <c r="P219" t="s">
        <v>85</v>
      </c>
    </row>
    <row r="220" spans="1:16" x14ac:dyDescent="0.35">
      <c r="A220" t="str">
        <f>_xlfn.XLOOKUP(I220,Sheet3!A:A,Sheet3!B:B)</f>
        <v>HR</v>
      </c>
      <c r="B220">
        <v>26</v>
      </c>
      <c r="C220">
        <f t="shared" si="3"/>
        <v>138</v>
      </c>
      <c r="D220" t="str">
        <f>A220&amp;-B220&amp;-C220</f>
        <v>HR-26-138</v>
      </c>
      <c r="E220" t="s">
        <v>131</v>
      </c>
      <c r="F220" s="4" t="s">
        <v>140</v>
      </c>
      <c r="G220" s="4"/>
      <c r="H220" s="4"/>
      <c r="I220" t="s">
        <v>85</v>
      </c>
      <c r="J220">
        <v>81122101</v>
      </c>
      <c r="K220">
        <v>52121315</v>
      </c>
      <c r="P220" t="s">
        <v>85</v>
      </c>
    </row>
    <row r="221" spans="1:16" x14ac:dyDescent="0.35">
      <c r="A221" t="str">
        <f>_xlfn.XLOOKUP(I221,Sheet3!A:A,Sheet3!B:B)</f>
        <v>HR</v>
      </c>
      <c r="B221">
        <v>26</v>
      </c>
      <c r="C221">
        <f t="shared" si="3"/>
        <v>139</v>
      </c>
      <c r="D221" t="str">
        <f>A221&amp;-B221&amp;-C221</f>
        <v>HR-26-139</v>
      </c>
      <c r="E221" t="s">
        <v>131</v>
      </c>
      <c r="F221" s="4" t="s">
        <v>136</v>
      </c>
      <c r="G221" s="4"/>
      <c r="H221" s="4"/>
      <c r="I221" t="s">
        <v>85</v>
      </c>
      <c r="J221">
        <v>81122101</v>
      </c>
      <c r="K221">
        <v>52121315</v>
      </c>
      <c r="P221" t="s">
        <v>85</v>
      </c>
    </row>
    <row r="222" spans="1:16" x14ac:dyDescent="0.35">
      <c r="A222" t="str">
        <f>_xlfn.XLOOKUP(I222,Sheet3!A:A,Sheet3!B:B)</f>
        <v>HR</v>
      </c>
      <c r="B222">
        <v>26</v>
      </c>
      <c r="C222">
        <f t="shared" si="3"/>
        <v>140</v>
      </c>
      <c r="D222" t="str">
        <f>A222&amp;-B222&amp;-C222</f>
        <v>HR-26-140</v>
      </c>
      <c r="E222" t="s">
        <v>132</v>
      </c>
      <c r="F222" s="4" t="s">
        <v>142</v>
      </c>
      <c r="G222" s="4"/>
      <c r="H222" s="4"/>
      <c r="I222" t="s">
        <v>85</v>
      </c>
      <c r="J222">
        <v>81122101</v>
      </c>
      <c r="K222">
        <v>52121502</v>
      </c>
      <c r="L222" t="s">
        <v>251</v>
      </c>
    </row>
    <row r="223" spans="1:16" x14ac:dyDescent="0.35">
      <c r="A223" t="str">
        <f>_xlfn.XLOOKUP(I223,Sheet3!A:A,Sheet3!B:B)</f>
        <v>HR</v>
      </c>
      <c r="B223">
        <v>26</v>
      </c>
      <c r="C223">
        <f t="shared" si="3"/>
        <v>141</v>
      </c>
      <c r="D223" t="str">
        <f>A223&amp;-B223&amp;-C223</f>
        <v>HR-26-141</v>
      </c>
      <c r="E223" t="s">
        <v>132</v>
      </c>
      <c r="F223" s="4" t="s">
        <v>141</v>
      </c>
      <c r="G223" s="4"/>
      <c r="H223" s="4"/>
      <c r="I223" t="s">
        <v>85</v>
      </c>
      <c r="J223">
        <v>81122101</v>
      </c>
      <c r="K223">
        <v>52121502</v>
      </c>
      <c r="L223" t="s">
        <v>251</v>
      </c>
    </row>
    <row r="224" spans="1:16" x14ac:dyDescent="0.35">
      <c r="A224" t="str">
        <f>_xlfn.XLOOKUP(I224,Sheet3!A:A,Sheet3!B:B)</f>
        <v>HR</v>
      </c>
      <c r="B224">
        <v>26</v>
      </c>
      <c r="C224">
        <f t="shared" si="3"/>
        <v>142</v>
      </c>
      <c r="D224" t="str">
        <f>A224&amp;-B224&amp;-C224</f>
        <v>HR-26-142</v>
      </c>
      <c r="E224" t="s">
        <v>132</v>
      </c>
      <c r="F224" s="4" t="s">
        <v>414</v>
      </c>
      <c r="G224" s="4"/>
      <c r="H224" s="4"/>
      <c r="I224" t="s">
        <v>85</v>
      </c>
      <c r="J224">
        <v>81122101</v>
      </c>
      <c r="K224">
        <v>52121502</v>
      </c>
      <c r="L224" t="s">
        <v>251</v>
      </c>
    </row>
    <row r="225" spans="1:16" x14ac:dyDescent="0.35">
      <c r="A225" t="str">
        <f>_xlfn.XLOOKUP(I225,Sheet3!A:A,Sheet3!B:B)</f>
        <v>HR</v>
      </c>
      <c r="B225">
        <v>26</v>
      </c>
      <c r="C225">
        <f t="shared" si="3"/>
        <v>143</v>
      </c>
      <c r="D225" t="str">
        <f>A225&amp;-B225&amp;-C225</f>
        <v>HR-26-143</v>
      </c>
      <c r="E225" t="s">
        <v>132</v>
      </c>
      <c r="F225" s="4" t="s">
        <v>144</v>
      </c>
      <c r="G225" s="4"/>
      <c r="H225" s="4"/>
      <c r="I225" t="s">
        <v>85</v>
      </c>
      <c r="J225">
        <v>81122101</v>
      </c>
      <c r="K225">
        <v>52121502</v>
      </c>
      <c r="L225" t="s">
        <v>251</v>
      </c>
    </row>
    <row r="226" spans="1:16" x14ac:dyDescent="0.35">
      <c r="A226" t="str">
        <f>_xlfn.XLOOKUP(I226,Sheet3!A:A,Sheet3!B:B)</f>
        <v>HR</v>
      </c>
      <c r="B226">
        <v>26</v>
      </c>
      <c r="C226">
        <f t="shared" si="3"/>
        <v>144</v>
      </c>
      <c r="D226" t="str">
        <f>A226&amp;-B226&amp;-C226</f>
        <v>HR-26-144</v>
      </c>
      <c r="E226" t="s">
        <v>132</v>
      </c>
      <c r="F226" s="4" t="s">
        <v>143</v>
      </c>
      <c r="G226" s="4"/>
      <c r="H226" s="4"/>
      <c r="I226" t="s">
        <v>85</v>
      </c>
      <c r="J226">
        <v>81122101</v>
      </c>
      <c r="K226">
        <v>52121502</v>
      </c>
      <c r="L226" t="s">
        <v>251</v>
      </c>
    </row>
    <row r="227" spans="1:16" x14ac:dyDescent="0.35">
      <c r="A227" t="str">
        <f>_xlfn.XLOOKUP(I227,Sheet3!A:A,Sheet3!B:B)</f>
        <v>HR</v>
      </c>
      <c r="B227">
        <v>26</v>
      </c>
      <c r="C227">
        <f t="shared" si="3"/>
        <v>145</v>
      </c>
      <c r="D227" t="str">
        <f>A227&amp;-B227&amp;-C227</f>
        <v>HR-26-145</v>
      </c>
      <c r="E227" t="s">
        <v>132</v>
      </c>
      <c r="F227" s="4" t="s">
        <v>145</v>
      </c>
      <c r="G227" s="4"/>
      <c r="H227" s="4"/>
      <c r="I227" t="s">
        <v>85</v>
      </c>
      <c r="J227">
        <v>81122101</v>
      </c>
      <c r="K227">
        <v>52121502</v>
      </c>
    </row>
    <row r="228" spans="1:16" x14ac:dyDescent="0.35">
      <c r="A228" t="str">
        <f>_xlfn.XLOOKUP(I228,Sheet3!A:A,Sheet3!B:B)</f>
        <v>IT</v>
      </c>
      <c r="B228">
        <v>26</v>
      </c>
      <c r="C228">
        <v>1</v>
      </c>
      <c r="D228" t="str">
        <f>A228&amp;-B228&amp;-C228</f>
        <v>IT-26-1</v>
      </c>
      <c r="E228" t="s">
        <v>329</v>
      </c>
      <c r="F228" s="5" t="s">
        <v>433</v>
      </c>
      <c r="I228" s="5" t="s">
        <v>77</v>
      </c>
      <c r="J228">
        <v>81124101</v>
      </c>
      <c r="K228">
        <v>52071104</v>
      </c>
    </row>
    <row r="229" spans="1:16" x14ac:dyDescent="0.35">
      <c r="A229" t="str">
        <f>_xlfn.XLOOKUP(I229,Sheet3!A:A,Sheet3!B:B)</f>
        <v>IT</v>
      </c>
      <c r="B229">
        <v>26</v>
      </c>
      <c r="C229">
        <f>C228+1</f>
        <v>2</v>
      </c>
      <c r="D229" t="str">
        <f>A229&amp;-B229&amp;-C229</f>
        <v>IT-26-2</v>
      </c>
      <c r="E229" t="s">
        <v>329</v>
      </c>
      <c r="F229" s="5" t="s">
        <v>432</v>
      </c>
      <c r="I229" s="5" t="s">
        <v>77</v>
      </c>
      <c r="J229">
        <v>81124101</v>
      </c>
      <c r="K229">
        <v>52071104</v>
      </c>
    </row>
    <row r="230" spans="1:16" x14ac:dyDescent="0.35">
      <c r="A230" t="str">
        <f>_xlfn.XLOOKUP(I230,Sheet3!A:A,Sheet3!B:B)</f>
        <v>IT</v>
      </c>
      <c r="B230">
        <v>26</v>
      </c>
      <c r="C230">
        <f t="shared" ref="C230:C292" si="4">C229+1</f>
        <v>3</v>
      </c>
      <c r="D230" t="str">
        <f>A230&amp;-B230&amp;-C230</f>
        <v>IT-26-3</v>
      </c>
      <c r="E230" t="s">
        <v>329</v>
      </c>
      <c r="F230" s="5" t="s">
        <v>436</v>
      </c>
      <c r="I230" s="5" t="s">
        <v>77</v>
      </c>
      <c r="J230">
        <v>81124101</v>
      </c>
      <c r="K230">
        <v>52071104</v>
      </c>
    </row>
    <row r="231" spans="1:16" x14ac:dyDescent="0.35">
      <c r="A231" t="str">
        <f>_xlfn.XLOOKUP(I231,Sheet3!A:A,Sheet3!B:B)</f>
        <v>IT</v>
      </c>
      <c r="B231">
        <v>26</v>
      </c>
      <c r="C231">
        <f t="shared" si="4"/>
        <v>4</v>
      </c>
      <c r="D231" t="str">
        <f>A231&amp;-B231&amp;-C231</f>
        <v>IT-26-4</v>
      </c>
      <c r="E231" t="s">
        <v>329</v>
      </c>
      <c r="F231" s="5" t="s">
        <v>437</v>
      </c>
      <c r="I231" s="5" t="s">
        <v>77</v>
      </c>
      <c r="J231">
        <v>81124101</v>
      </c>
      <c r="K231">
        <v>52071104</v>
      </c>
    </row>
    <row r="232" spans="1:16" x14ac:dyDescent="0.35">
      <c r="A232" t="str">
        <f>_xlfn.XLOOKUP(I232,Sheet3!A:A,Sheet3!B:B)</f>
        <v>IT</v>
      </c>
      <c r="B232">
        <v>26</v>
      </c>
      <c r="C232">
        <f t="shared" si="4"/>
        <v>5</v>
      </c>
      <c r="D232" t="str">
        <f>A232&amp;-B232&amp;-C232</f>
        <v>IT-26-5</v>
      </c>
      <c r="E232" t="s">
        <v>329</v>
      </c>
      <c r="F232" s="5" t="s">
        <v>435</v>
      </c>
      <c r="I232" s="5" t="s">
        <v>77</v>
      </c>
      <c r="J232">
        <v>81124101</v>
      </c>
      <c r="K232">
        <v>52071104</v>
      </c>
    </row>
    <row r="233" spans="1:16" x14ac:dyDescent="0.35">
      <c r="A233" t="str">
        <f>_xlfn.XLOOKUP(I233,Sheet3!A:A,Sheet3!B:B)</f>
        <v>IT</v>
      </c>
      <c r="B233">
        <v>26</v>
      </c>
      <c r="C233">
        <f t="shared" si="4"/>
        <v>6</v>
      </c>
      <c r="D233" t="str">
        <f>A233&amp;-B233&amp;-C233</f>
        <v>IT-26-6</v>
      </c>
      <c r="E233" t="s">
        <v>329</v>
      </c>
      <c r="F233" s="5" t="s">
        <v>434</v>
      </c>
      <c r="I233" s="5" t="s">
        <v>77</v>
      </c>
      <c r="J233">
        <v>81124101</v>
      </c>
      <c r="K233">
        <v>52071104</v>
      </c>
    </row>
    <row r="234" spans="1:16" x14ac:dyDescent="0.35">
      <c r="A234" t="str">
        <f>_xlfn.XLOOKUP(I234,Sheet3!A:A,Sheet3!B:B)</f>
        <v>IT</v>
      </c>
      <c r="B234">
        <v>26</v>
      </c>
      <c r="C234">
        <f t="shared" si="4"/>
        <v>7</v>
      </c>
      <c r="D234" t="str">
        <f>A234&amp;-B234&amp;-C234</f>
        <v>IT-26-7</v>
      </c>
      <c r="E234" s="5" t="s">
        <v>293</v>
      </c>
      <c r="F234" s="5" t="s">
        <v>297</v>
      </c>
      <c r="I234" t="s">
        <v>77</v>
      </c>
      <c r="J234">
        <v>80124101</v>
      </c>
      <c r="K234">
        <v>61721105</v>
      </c>
      <c r="P234" t="s">
        <v>77</v>
      </c>
    </row>
    <row r="235" spans="1:16" x14ac:dyDescent="0.35">
      <c r="A235" t="str">
        <f>_xlfn.XLOOKUP(I235,Sheet3!A:A,Sheet3!B:B)</f>
        <v>IT</v>
      </c>
      <c r="B235">
        <v>26</v>
      </c>
      <c r="C235">
        <f t="shared" si="4"/>
        <v>8</v>
      </c>
      <c r="D235" t="str">
        <f>A235&amp;-B235&amp;-C235</f>
        <v>IT-26-8</v>
      </c>
      <c r="E235" s="5" t="s">
        <v>293</v>
      </c>
      <c r="F235" s="5" t="s">
        <v>299</v>
      </c>
      <c r="I235" t="s">
        <v>77</v>
      </c>
      <c r="J235">
        <v>80124101</v>
      </c>
      <c r="K235">
        <v>61721105</v>
      </c>
      <c r="P235" t="s">
        <v>77</v>
      </c>
    </row>
    <row r="236" spans="1:16" x14ac:dyDescent="0.35">
      <c r="A236" t="str">
        <f>_xlfn.XLOOKUP(I236,Sheet3!A:A,Sheet3!B:B)</f>
        <v>IT</v>
      </c>
      <c r="B236">
        <v>26</v>
      </c>
      <c r="C236">
        <f t="shared" si="4"/>
        <v>9</v>
      </c>
      <c r="D236" t="str">
        <f>A236&amp;-B236&amp;-C236</f>
        <v>IT-26-9</v>
      </c>
      <c r="E236" s="5" t="s">
        <v>293</v>
      </c>
      <c r="F236" s="5" t="s">
        <v>294</v>
      </c>
      <c r="I236" t="s">
        <v>77</v>
      </c>
      <c r="J236">
        <v>80124101</v>
      </c>
      <c r="K236">
        <v>61721105</v>
      </c>
      <c r="P236" t="s">
        <v>77</v>
      </c>
    </row>
    <row r="237" spans="1:16" x14ac:dyDescent="0.35">
      <c r="A237" t="str">
        <f>_xlfn.XLOOKUP(I237,Sheet3!A:A,Sheet3!B:B)</f>
        <v>IT</v>
      </c>
      <c r="B237">
        <v>26</v>
      </c>
      <c r="C237">
        <f t="shared" si="4"/>
        <v>10</v>
      </c>
      <c r="D237" t="str">
        <f>A237&amp;-B237&amp;-C237</f>
        <v>IT-26-10</v>
      </c>
      <c r="E237" s="5" t="s">
        <v>293</v>
      </c>
      <c r="F237" s="5" t="s">
        <v>298</v>
      </c>
      <c r="I237" t="s">
        <v>77</v>
      </c>
      <c r="J237">
        <v>80124101</v>
      </c>
      <c r="K237">
        <v>61721105</v>
      </c>
      <c r="P237" t="s">
        <v>77</v>
      </c>
    </row>
    <row r="238" spans="1:16" x14ac:dyDescent="0.35">
      <c r="A238" t="str">
        <f>_xlfn.XLOOKUP(I238,Sheet3!A:A,Sheet3!B:B)</f>
        <v>IT</v>
      </c>
      <c r="B238">
        <v>26</v>
      </c>
      <c r="C238">
        <f t="shared" si="4"/>
        <v>11</v>
      </c>
      <c r="D238" t="str">
        <f>A238&amp;-B238&amp;-C238</f>
        <v>IT-26-11</v>
      </c>
      <c r="E238" s="5" t="s">
        <v>293</v>
      </c>
      <c r="F238" s="5" t="s">
        <v>295</v>
      </c>
      <c r="I238" t="s">
        <v>77</v>
      </c>
      <c r="J238">
        <v>80124101</v>
      </c>
      <c r="K238">
        <v>61721105</v>
      </c>
      <c r="P238" t="s">
        <v>77</v>
      </c>
    </row>
    <row r="239" spans="1:16" x14ac:dyDescent="0.35">
      <c r="A239" t="str">
        <f>_xlfn.XLOOKUP(I239,Sheet3!A:A,Sheet3!B:B)</f>
        <v>IT</v>
      </c>
      <c r="B239">
        <v>26</v>
      </c>
      <c r="C239">
        <f t="shared" si="4"/>
        <v>12</v>
      </c>
      <c r="D239" t="str">
        <f>A239&amp;-B239&amp;-C239</f>
        <v>IT-26-12</v>
      </c>
      <c r="E239" s="5" t="s">
        <v>293</v>
      </c>
      <c r="F239" s="5" t="s">
        <v>296</v>
      </c>
      <c r="I239" t="s">
        <v>77</v>
      </c>
      <c r="J239">
        <v>80124101</v>
      </c>
      <c r="K239">
        <v>61721105</v>
      </c>
      <c r="P239" t="s">
        <v>77</v>
      </c>
    </row>
    <row r="240" spans="1:16" x14ac:dyDescent="0.35">
      <c r="A240" t="str">
        <f>_xlfn.XLOOKUP(I240,Sheet3!A:A,Sheet3!B:B)</f>
        <v>IT</v>
      </c>
      <c r="B240">
        <v>26</v>
      </c>
      <c r="C240">
        <f t="shared" si="4"/>
        <v>13</v>
      </c>
      <c r="D240" t="str">
        <f>A240&amp;-B240&amp;-C240</f>
        <v>IT-26-13</v>
      </c>
      <c r="E240" s="5" t="s">
        <v>293</v>
      </c>
      <c r="F240" s="5" t="s">
        <v>369</v>
      </c>
      <c r="I240" t="s">
        <v>77</v>
      </c>
      <c r="J240">
        <v>80124101</v>
      </c>
      <c r="K240">
        <v>61721105</v>
      </c>
      <c r="L240" t="s">
        <v>251</v>
      </c>
    </row>
    <row r="241" spans="1:16" x14ac:dyDescent="0.35">
      <c r="A241" t="str">
        <f>_xlfn.XLOOKUP(I241,Sheet3!A:A,Sheet3!B:B)</f>
        <v>IT</v>
      </c>
      <c r="B241">
        <v>26</v>
      </c>
      <c r="C241">
        <f t="shared" si="4"/>
        <v>14</v>
      </c>
      <c r="D241" t="str">
        <f>A241&amp;-B241&amp;-C241</f>
        <v>IT-26-14</v>
      </c>
      <c r="E241" t="s">
        <v>214</v>
      </c>
      <c r="F241" s="5" t="s">
        <v>93</v>
      </c>
      <c r="H241" t="s">
        <v>207</v>
      </c>
      <c r="I241" t="s">
        <v>77</v>
      </c>
      <c r="J241">
        <v>81124101</v>
      </c>
      <c r="K241">
        <v>52952103</v>
      </c>
    </row>
    <row r="242" spans="1:16" x14ac:dyDescent="0.35">
      <c r="A242" t="str">
        <f>_xlfn.XLOOKUP(I242,Sheet3!A:A,Sheet3!B:B)</f>
        <v>IT</v>
      </c>
      <c r="B242">
        <v>26</v>
      </c>
      <c r="C242">
        <f t="shared" si="4"/>
        <v>15</v>
      </c>
      <c r="D242" t="str">
        <f>A242&amp;-B242&amp;-C242</f>
        <v>IT-26-15</v>
      </c>
      <c r="E242" t="s">
        <v>208</v>
      </c>
      <c r="F242" s="5" t="s">
        <v>49</v>
      </c>
      <c r="H242" t="s">
        <v>186</v>
      </c>
      <c r="I242" t="s">
        <v>77</v>
      </c>
      <c r="J242">
        <v>81124101</v>
      </c>
      <c r="K242">
        <v>52952103</v>
      </c>
      <c r="P242" t="s">
        <v>77</v>
      </c>
    </row>
    <row r="243" spans="1:16" x14ac:dyDescent="0.35">
      <c r="A243" t="str">
        <f>_xlfn.XLOOKUP(I243,Sheet3!A:A,Sheet3!B:B)</f>
        <v>IT</v>
      </c>
      <c r="B243">
        <v>26</v>
      </c>
      <c r="C243">
        <f t="shared" si="4"/>
        <v>16</v>
      </c>
      <c r="D243" t="str">
        <f>A243&amp;-B243&amp;-C243</f>
        <v>IT-26-16</v>
      </c>
      <c r="E243" t="s">
        <v>208</v>
      </c>
      <c r="F243" s="5" t="s">
        <v>48</v>
      </c>
      <c r="H243" t="s">
        <v>202</v>
      </c>
      <c r="I243" t="s">
        <v>77</v>
      </c>
      <c r="J243">
        <v>81124101</v>
      </c>
      <c r="K243">
        <v>52061109</v>
      </c>
      <c r="P243" t="s">
        <v>77</v>
      </c>
    </row>
    <row r="244" spans="1:16" x14ac:dyDescent="0.35">
      <c r="A244" t="str">
        <f>_xlfn.XLOOKUP(I244,Sheet3!A:A,Sheet3!B:B)</f>
        <v>IT</v>
      </c>
      <c r="B244">
        <v>26</v>
      </c>
      <c r="C244">
        <f t="shared" si="4"/>
        <v>17</v>
      </c>
      <c r="D244" t="str">
        <f>A244&amp;-B244&amp;-C244</f>
        <v>IT-26-17</v>
      </c>
      <c r="E244" t="s">
        <v>211</v>
      </c>
      <c r="F244" s="5" t="s">
        <v>44</v>
      </c>
      <c r="H244" t="s">
        <v>199</v>
      </c>
      <c r="I244" t="s">
        <v>77</v>
      </c>
      <c r="J244">
        <v>80124101</v>
      </c>
      <c r="K244">
        <v>61711102</v>
      </c>
      <c r="P244" t="s">
        <v>77</v>
      </c>
    </row>
    <row r="245" spans="1:16" x14ac:dyDescent="0.35">
      <c r="A245" t="str">
        <f>_xlfn.XLOOKUP(I245,Sheet3!A:A,Sheet3!B:B)</f>
        <v>IT</v>
      </c>
      <c r="B245">
        <v>26</v>
      </c>
      <c r="C245">
        <f t="shared" si="4"/>
        <v>18</v>
      </c>
      <c r="D245" t="str">
        <f>A245&amp;-B245&amp;-C245</f>
        <v>IT-26-18</v>
      </c>
      <c r="E245" t="s">
        <v>212</v>
      </c>
      <c r="F245" s="5" t="s">
        <v>173</v>
      </c>
      <c r="H245" t="s">
        <v>174</v>
      </c>
      <c r="I245" t="s">
        <v>77</v>
      </c>
      <c r="J245">
        <v>81124101</v>
      </c>
      <c r="K245">
        <v>52952103</v>
      </c>
      <c r="P245" t="s">
        <v>77</v>
      </c>
    </row>
    <row r="246" spans="1:16" x14ac:dyDescent="0.35">
      <c r="A246" t="str">
        <f>_xlfn.XLOOKUP(I246,Sheet3!A:A,Sheet3!B:B)</f>
        <v>IT</v>
      </c>
      <c r="B246">
        <v>26</v>
      </c>
      <c r="C246">
        <f t="shared" si="4"/>
        <v>19</v>
      </c>
      <c r="D246" t="str">
        <f>A246&amp;-B246&amp;-C246</f>
        <v>IT-26-19</v>
      </c>
      <c r="E246" t="s">
        <v>212</v>
      </c>
      <c r="F246" s="5" t="s">
        <v>64</v>
      </c>
      <c r="H246" t="s">
        <v>191</v>
      </c>
      <c r="I246" t="s">
        <v>77</v>
      </c>
      <c r="J246">
        <v>80124101</v>
      </c>
      <c r="K246">
        <v>61711102</v>
      </c>
      <c r="P246" t="s">
        <v>77</v>
      </c>
    </row>
    <row r="247" spans="1:16" x14ac:dyDescent="0.35">
      <c r="A247" t="str">
        <f>_xlfn.XLOOKUP(I247,Sheet3!A:A,Sheet3!B:B)</f>
        <v>IT</v>
      </c>
      <c r="B247">
        <v>26</v>
      </c>
      <c r="C247">
        <f t="shared" si="4"/>
        <v>20</v>
      </c>
      <c r="D247" t="str">
        <f>A247&amp;-B247&amp;-C247</f>
        <v>IT-26-20</v>
      </c>
      <c r="E247" t="s">
        <v>212</v>
      </c>
      <c r="F247" s="5" t="s">
        <v>52</v>
      </c>
      <c r="H247" t="s">
        <v>203</v>
      </c>
      <c r="I247" t="s">
        <v>77</v>
      </c>
      <c r="J247">
        <v>80124101</v>
      </c>
      <c r="K247">
        <v>61711102</v>
      </c>
      <c r="P247" t="s">
        <v>77</v>
      </c>
    </row>
    <row r="248" spans="1:16" x14ac:dyDescent="0.35">
      <c r="A248" t="str">
        <f>_xlfn.XLOOKUP(I248,Sheet3!A:A,Sheet3!B:B)</f>
        <v>IT</v>
      </c>
      <c r="B248">
        <v>26</v>
      </c>
      <c r="C248">
        <f t="shared" si="4"/>
        <v>21</v>
      </c>
      <c r="D248" t="str">
        <f>A248&amp;-B248&amp;-C248</f>
        <v>IT-26-21</v>
      </c>
      <c r="E248" t="s">
        <v>212</v>
      </c>
      <c r="F248" s="5" t="s">
        <v>56</v>
      </c>
      <c r="H248" t="s">
        <v>206</v>
      </c>
      <c r="I248" t="s">
        <v>77</v>
      </c>
      <c r="J248">
        <v>80124101</v>
      </c>
      <c r="K248">
        <v>61711102</v>
      </c>
      <c r="P248" t="s">
        <v>77</v>
      </c>
    </row>
    <row r="249" spans="1:16" x14ac:dyDescent="0.35">
      <c r="A249" t="str">
        <f>_xlfn.XLOOKUP(I249,Sheet3!A:A,Sheet3!B:B)</f>
        <v>IT</v>
      </c>
      <c r="B249">
        <v>26</v>
      </c>
      <c r="C249">
        <f t="shared" si="4"/>
        <v>22</v>
      </c>
      <c r="D249" t="str">
        <f>A249&amp;-B249&amp;-C249</f>
        <v>IT-26-22</v>
      </c>
      <c r="E249" t="s">
        <v>422</v>
      </c>
      <c r="F249" s="5" t="s">
        <v>423</v>
      </c>
      <c r="G249" s="5" t="s">
        <v>221</v>
      </c>
      <c r="I249" s="5" t="s">
        <v>77</v>
      </c>
      <c r="J249">
        <v>81124101</v>
      </c>
      <c r="K249">
        <v>52061109</v>
      </c>
    </row>
    <row r="250" spans="1:16" x14ac:dyDescent="0.35">
      <c r="A250" t="str">
        <f>_xlfn.XLOOKUP(I250,Sheet3!A:A,Sheet3!B:B)</f>
        <v>IT</v>
      </c>
      <c r="B250">
        <v>26</v>
      </c>
      <c r="C250">
        <f t="shared" si="4"/>
        <v>23</v>
      </c>
      <c r="D250" t="str">
        <f>A250&amp;-B250&amp;-C250</f>
        <v>IT-26-23</v>
      </c>
      <c r="E250" t="s">
        <v>422</v>
      </c>
      <c r="F250" s="5" t="s">
        <v>423</v>
      </c>
      <c r="G250" s="5" t="s">
        <v>222</v>
      </c>
      <c r="I250" s="5" t="s">
        <v>77</v>
      </c>
      <c r="J250">
        <v>80124101</v>
      </c>
      <c r="K250">
        <v>61061105</v>
      </c>
    </row>
    <row r="251" spans="1:16" x14ac:dyDescent="0.35">
      <c r="A251" t="str">
        <f>_xlfn.XLOOKUP(I251,Sheet3!A:A,Sheet3!B:B)</f>
        <v>IT</v>
      </c>
      <c r="B251">
        <v>26</v>
      </c>
      <c r="C251">
        <f t="shared" si="4"/>
        <v>24</v>
      </c>
      <c r="D251" t="str">
        <f>A251&amp;-B251&amp;-C251</f>
        <v>IT-26-24</v>
      </c>
      <c r="E251" t="s">
        <v>422</v>
      </c>
      <c r="F251" s="5" t="s">
        <v>423</v>
      </c>
      <c r="G251" s="5" t="s">
        <v>223</v>
      </c>
      <c r="I251" s="5" t="s">
        <v>77</v>
      </c>
      <c r="J251">
        <v>90124101</v>
      </c>
      <c r="K251">
        <v>61061105</v>
      </c>
    </row>
    <row r="252" spans="1:16" x14ac:dyDescent="0.35">
      <c r="A252" t="str">
        <f>_xlfn.XLOOKUP(I252,Sheet3!A:A,Sheet3!B:B)</f>
        <v>IT</v>
      </c>
      <c r="B252">
        <v>26</v>
      </c>
      <c r="C252">
        <f t="shared" si="4"/>
        <v>25</v>
      </c>
      <c r="D252" t="str">
        <f>A252&amp;-B252&amp;-C252</f>
        <v>IT-26-25</v>
      </c>
      <c r="E252" t="s">
        <v>422</v>
      </c>
      <c r="F252" s="5" t="s">
        <v>424</v>
      </c>
      <c r="G252" s="5" t="s">
        <v>221</v>
      </c>
      <c r="I252" s="5" t="s">
        <v>77</v>
      </c>
      <c r="J252">
        <v>81124101</v>
      </c>
      <c r="K252">
        <v>52061109</v>
      </c>
    </row>
    <row r="253" spans="1:16" x14ac:dyDescent="0.35">
      <c r="A253" t="str">
        <f>_xlfn.XLOOKUP(I253,Sheet3!A:A,Sheet3!B:B)</f>
        <v>IT</v>
      </c>
      <c r="B253">
        <v>26</v>
      </c>
      <c r="C253">
        <f t="shared" si="4"/>
        <v>26</v>
      </c>
      <c r="D253" t="str">
        <f>A253&amp;-B253&amp;-C253</f>
        <v>IT-26-26</v>
      </c>
      <c r="E253" t="s">
        <v>422</v>
      </c>
      <c r="F253" s="5" t="s">
        <v>424</v>
      </c>
      <c r="G253" s="5" t="s">
        <v>222</v>
      </c>
      <c r="I253" s="5" t="s">
        <v>77</v>
      </c>
      <c r="J253">
        <v>80124101</v>
      </c>
      <c r="K253">
        <v>61061105</v>
      </c>
    </row>
    <row r="254" spans="1:16" x14ac:dyDescent="0.35">
      <c r="A254" t="str">
        <f>_xlfn.XLOOKUP(I254,Sheet3!A:A,Sheet3!B:B)</f>
        <v>IT</v>
      </c>
      <c r="B254">
        <v>26</v>
      </c>
      <c r="C254">
        <f t="shared" si="4"/>
        <v>27</v>
      </c>
      <c r="D254" t="str">
        <f>A254&amp;-B254&amp;-C254</f>
        <v>IT-26-27</v>
      </c>
      <c r="E254" t="s">
        <v>422</v>
      </c>
      <c r="F254" s="5" t="s">
        <v>424</v>
      </c>
      <c r="G254" s="5" t="s">
        <v>223</v>
      </c>
      <c r="I254" s="5" t="s">
        <v>77</v>
      </c>
      <c r="J254">
        <v>90124101</v>
      </c>
      <c r="K254">
        <v>61061105</v>
      </c>
    </row>
    <row r="255" spans="1:16" x14ac:dyDescent="0.35">
      <c r="A255" t="str">
        <f>_xlfn.XLOOKUP(I255,Sheet3!A:A,Sheet3!B:B)</f>
        <v>IT</v>
      </c>
      <c r="B255">
        <v>26</v>
      </c>
      <c r="C255">
        <f t="shared" si="4"/>
        <v>28</v>
      </c>
      <c r="D255" t="str">
        <f>A255&amp;-B255&amp;-C255</f>
        <v>IT-26-28</v>
      </c>
      <c r="E255" t="s">
        <v>210</v>
      </c>
      <c r="F255" s="5" t="s">
        <v>55</v>
      </c>
      <c r="H255" t="s">
        <v>169</v>
      </c>
      <c r="I255" t="s">
        <v>77</v>
      </c>
      <c r="J255">
        <v>81124101</v>
      </c>
      <c r="K255">
        <v>52952103</v>
      </c>
      <c r="P255" t="s">
        <v>77</v>
      </c>
    </row>
    <row r="256" spans="1:16" x14ac:dyDescent="0.35">
      <c r="A256" t="str">
        <f>_xlfn.XLOOKUP(I256,Sheet3!A:A,Sheet3!B:B)</f>
        <v>IT</v>
      </c>
      <c r="B256">
        <v>26</v>
      </c>
      <c r="C256">
        <f t="shared" si="4"/>
        <v>29</v>
      </c>
      <c r="D256" t="str">
        <f>A256&amp;-B256&amp;-C256</f>
        <v>IT-26-29</v>
      </c>
      <c r="E256" t="s">
        <v>210</v>
      </c>
      <c r="F256" s="5" t="s">
        <v>367</v>
      </c>
      <c r="H256" t="s">
        <v>179</v>
      </c>
      <c r="I256" t="s">
        <v>77</v>
      </c>
      <c r="J256">
        <v>80124101</v>
      </c>
      <c r="K256">
        <v>61711102</v>
      </c>
      <c r="P256" t="s">
        <v>77</v>
      </c>
    </row>
    <row r="257" spans="1:16" x14ac:dyDescent="0.35">
      <c r="A257" t="str">
        <f>_xlfn.XLOOKUP(I257,Sheet3!A:A,Sheet3!B:B)</f>
        <v>IT</v>
      </c>
      <c r="B257">
        <v>26</v>
      </c>
      <c r="C257">
        <f t="shared" si="4"/>
        <v>30</v>
      </c>
      <c r="D257" t="str">
        <f>A257&amp;-B257&amp;-C257</f>
        <v>IT-26-30</v>
      </c>
      <c r="E257" t="s">
        <v>210</v>
      </c>
      <c r="F257" s="5" t="s">
        <v>74</v>
      </c>
      <c r="H257" t="s">
        <v>183</v>
      </c>
      <c r="I257" t="s">
        <v>77</v>
      </c>
      <c r="J257">
        <v>80124101</v>
      </c>
      <c r="K257">
        <v>61061105</v>
      </c>
      <c r="P257" t="s">
        <v>77</v>
      </c>
    </row>
    <row r="258" spans="1:16" ht="43.5" x14ac:dyDescent="0.35">
      <c r="A258" t="str">
        <f>_xlfn.XLOOKUP(I258,Sheet3!A:A,Sheet3!B:B)</f>
        <v>IT</v>
      </c>
      <c r="B258">
        <v>26</v>
      </c>
      <c r="C258">
        <f t="shared" si="4"/>
        <v>31</v>
      </c>
      <c r="D258" t="str">
        <f>A258&amp;-B258&amp;-C258</f>
        <v>IT-26-31</v>
      </c>
      <c r="E258" t="s">
        <v>210</v>
      </c>
      <c r="F258" s="5" t="s">
        <v>57</v>
      </c>
      <c r="H258" t="s">
        <v>188</v>
      </c>
      <c r="I258" t="s">
        <v>77</v>
      </c>
      <c r="J258">
        <v>80124101</v>
      </c>
      <c r="K258">
        <v>61711102</v>
      </c>
      <c r="P258" t="s">
        <v>77</v>
      </c>
    </row>
    <row r="259" spans="1:16" ht="29" x14ac:dyDescent="0.35">
      <c r="A259" t="str">
        <f>_xlfn.XLOOKUP(I259,Sheet3!A:A,Sheet3!B:B)</f>
        <v>IT</v>
      </c>
      <c r="B259">
        <v>26</v>
      </c>
      <c r="C259">
        <f t="shared" si="4"/>
        <v>32</v>
      </c>
      <c r="D259" t="str">
        <f>A259&amp;-B259&amp;-C259</f>
        <v>IT-26-32</v>
      </c>
      <c r="E259" t="s">
        <v>210</v>
      </c>
      <c r="F259" s="5" t="s">
        <v>60</v>
      </c>
      <c r="H259" t="s">
        <v>189</v>
      </c>
      <c r="I259" t="s">
        <v>77</v>
      </c>
      <c r="J259">
        <v>80124101</v>
      </c>
      <c r="K259">
        <v>61711102</v>
      </c>
      <c r="P259" t="s">
        <v>77</v>
      </c>
    </row>
    <row r="260" spans="1:16" x14ac:dyDescent="0.35">
      <c r="A260" t="str">
        <f>_xlfn.XLOOKUP(I260,Sheet3!A:A,Sheet3!B:B)</f>
        <v>IT</v>
      </c>
      <c r="B260">
        <v>26</v>
      </c>
      <c r="C260">
        <f t="shared" si="4"/>
        <v>33</v>
      </c>
      <c r="D260" t="str">
        <f>A260&amp;-B260&amp;-C260</f>
        <v>IT-26-33</v>
      </c>
      <c r="E260" t="s">
        <v>210</v>
      </c>
      <c r="F260" s="5" t="s">
        <v>53</v>
      </c>
      <c r="H260" t="s">
        <v>190</v>
      </c>
      <c r="I260" t="s">
        <v>77</v>
      </c>
      <c r="J260">
        <v>80124101</v>
      </c>
      <c r="K260">
        <v>61711102</v>
      </c>
      <c r="P260" t="s">
        <v>77</v>
      </c>
    </row>
    <row r="261" spans="1:16" x14ac:dyDescent="0.35">
      <c r="A261" t="str">
        <f>_xlfn.XLOOKUP(I261,Sheet3!A:A,Sheet3!B:B)</f>
        <v>IT</v>
      </c>
      <c r="B261">
        <v>26</v>
      </c>
      <c r="C261">
        <f t="shared" si="4"/>
        <v>34</v>
      </c>
      <c r="D261" t="str">
        <f>A261&amp;-B261&amp;-C261</f>
        <v>IT-26-34</v>
      </c>
      <c r="E261" t="s">
        <v>210</v>
      </c>
      <c r="F261" s="5" t="s">
        <v>45</v>
      </c>
      <c r="H261" t="s">
        <v>198</v>
      </c>
      <c r="I261" t="s">
        <v>77</v>
      </c>
      <c r="J261">
        <v>80124101</v>
      </c>
      <c r="K261">
        <v>61711102</v>
      </c>
      <c r="P261" t="s">
        <v>77</v>
      </c>
    </row>
    <row r="262" spans="1:16" x14ac:dyDescent="0.35">
      <c r="A262" t="str">
        <f>_xlfn.XLOOKUP(I262,Sheet3!A:A,Sheet3!B:B)</f>
        <v>IT</v>
      </c>
      <c r="B262">
        <v>26</v>
      </c>
      <c r="C262">
        <f t="shared" si="4"/>
        <v>35</v>
      </c>
      <c r="D262" t="str">
        <f>A262&amp;-B262&amp;-C262</f>
        <v>IT-26-35</v>
      </c>
      <c r="E262" t="s">
        <v>210</v>
      </c>
      <c r="F262" s="5" t="s">
        <v>366</v>
      </c>
      <c r="H262"/>
      <c r="I262" t="s">
        <v>77</v>
      </c>
      <c r="J262">
        <v>80124101</v>
      </c>
      <c r="K262">
        <v>61711102</v>
      </c>
      <c r="P262" t="s">
        <v>77</v>
      </c>
    </row>
    <row r="263" spans="1:16" x14ac:dyDescent="0.35">
      <c r="A263" t="str">
        <f>_xlfn.XLOOKUP(I263,Sheet3!A:A,Sheet3!B:B)</f>
        <v>IT</v>
      </c>
      <c r="B263">
        <v>26</v>
      </c>
      <c r="C263">
        <f t="shared" si="4"/>
        <v>36</v>
      </c>
      <c r="D263" t="str">
        <f>A263&amp;-B263&amp;-C263</f>
        <v>IT-26-36</v>
      </c>
      <c r="E263" t="s">
        <v>210</v>
      </c>
      <c r="F263" s="5" t="s">
        <v>46</v>
      </c>
      <c r="H263" t="s">
        <v>201</v>
      </c>
      <c r="I263" t="s">
        <v>77</v>
      </c>
      <c r="J263">
        <v>81124101</v>
      </c>
      <c r="K263">
        <v>52952103</v>
      </c>
      <c r="P263" t="s">
        <v>77</v>
      </c>
    </row>
    <row r="264" spans="1:16" x14ac:dyDescent="0.35">
      <c r="A264" t="str">
        <f>_xlfn.XLOOKUP(I264,Sheet3!A:A,Sheet3!B:B)</f>
        <v>IT</v>
      </c>
      <c r="B264">
        <v>26</v>
      </c>
      <c r="C264">
        <f t="shared" si="4"/>
        <v>37</v>
      </c>
      <c r="D264" t="str">
        <f>A264&amp;-B264&amp;-C264</f>
        <v>IT-26-37</v>
      </c>
      <c r="E264" t="s">
        <v>210</v>
      </c>
      <c r="F264" s="5" t="s">
        <v>54</v>
      </c>
      <c r="H264" t="s">
        <v>205</v>
      </c>
      <c r="I264" t="s">
        <v>77</v>
      </c>
      <c r="J264">
        <v>81124101</v>
      </c>
      <c r="K264">
        <v>52952103</v>
      </c>
      <c r="P264" t="s">
        <v>77</v>
      </c>
    </row>
    <row r="265" spans="1:16" x14ac:dyDescent="0.35">
      <c r="A265" t="str">
        <f>_xlfn.XLOOKUP(I265,Sheet3!A:A,Sheet3!B:B)</f>
        <v>IT</v>
      </c>
      <c r="B265">
        <v>26</v>
      </c>
      <c r="C265">
        <f t="shared" si="4"/>
        <v>38</v>
      </c>
      <c r="D265" t="str">
        <f>A265&amp;-B265&amp;-C265</f>
        <v>IT-26-38</v>
      </c>
      <c r="E265" t="s">
        <v>215</v>
      </c>
      <c r="F265" s="5" t="s">
        <v>176</v>
      </c>
      <c r="H265" t="s">
        <v>177</v>
      </c>
      <c r="I265" t="s">
        <v>77</v>
      </c>
      <c r="J265">
        <v>80124101</v>
      </c>
      <c r="K265">
        <v>61711102</v>
      </c>
      <c r="P265" t="s">
        <v>77</v>
      </c>
    </row>
    <row r="266" spans="1:16" x14ac:dyDescent="0.35">
      <c r="A266" t="str">
        <f>_xlfn.XLOOKUP(I266,Sheet3!A:A,Sheet3!B:B)</f>
        <v>IT</v>
      </c>
      <c r="B266">
        <v>26</v>
      </c>
      <c r="C266">
        <f t="shared" si="4"/>
        <v>39</v>
      </c>
      <c r="D266" t="str">
        <f>A266&amp;-B266&amp;-C266</f>
        <v>IT-26-39</v>
      </c>
      <c r="E266" t="s">
        <v>213</v>
      </c>
      <c r="F266" s="5" t="s">
        <v>63</v>
      </c>
      <c r="H266" t="s">
        <v>168</v>
      </c>
      <c r="I266" t="s">
        <v>77</v>
      </c>
      <c r="J266">
        <v>81124101</v>
      </c>
      <c r="K266">
        <v>52952103</v>
      </c>
      <c r="P266" t="s">
        <v>77</v>
      </c>
    </row>
    <row r="267" spans="1:16" x14ac:dyDescent="0.35">
      <c r="A267" t="str">
        <f>_xlfn.XLOOKUP(I267,Sheet3!A:A,Sheet3!B:B)</f>
        <v>IT</v>
      </c>
      <c r="B267">
        <v>26</v>
      </c>
      <c r="C267">
        <f t="shared" si="4"/>
        <v>40</v>
      </c>
      <c r="D267" t="str">
        <f>A267&amp;-B267&amp;-C267</f>
        <v>IT-26-40</v>
      </c>
      <c r="E267" t="s">
        <v>213</v>
      </c>
      <c r="F267" s="5" t="s">
        <v>66</v>
      </c>
      <c r="H267" t="s">
        <v>170</v>
      </c>
      <c r="I267" t="s">
        <v>77</v>
      </c>
      <c r="J267">
        <v>80124101</v>
      </c>
      <c r="K267">
        <v>61711102</v>
      </c>
    </row>
    <row r="268" spans="1:16" x14ac:dyDescent="0.35">
      <c r="A268" t="str">
        <f>_xlfn.XLOOKUP(I268,Sheet3!A:A,Sheet3!B:B)</f>
        <v>IT</v>
      </c>
      <c r="B268">
        <v>26</v>
      </c>
      <c r="C268">
        <f t="shared" si="4"/>
        <v>41</v>
      </c>
      <c r="D268" t="str">
        <f>A268&amp;-B268&amp;-C268</f>
        <v>IT-26-41</v>
      </c>
      <c r="E268" t="s">
        <v>213</v>
      </c>
      <c r="F268" s="5" t="s">
        <v>72</v>
      </c>
      <c r="H268" t="s">
        <v>171</v>
      </c>
      <c r="I268" t="s">
        <v>77</v>
      </c>
      <c r="J268">
        <v>80124101</v>
      </c>
      <c r="K268">
        <v>61711102</v>
      </c>
    </row>
    <row r="269" spans="1:16" x14ac:dyDescent="0.35">
      <c r="A269" t="str">
        <f>_xlfn.XLOOKUP(I269,Sheet3!A:A,Sheet3!B:B)</f>
        <v>IT</v>
      </c>
      <c r="B269">
        <v>26</v>
      </c>
      <c r="C269">
        <f t="shared" si="4"/>
        <v>42</v>
      </c>
      <c r="D269" t="str">
        <f>A269&amp;-B269&amp;-C269</f>
        <v>IT-26-42</v>
      </c>
      <c r="E269" t="s">
        <v>213</v>
      </c>
      <c r="F269" s="5" t="s">
        <v>67</v>
      </c>
      <c r="H269" t="s">
        <v>172</v>
      </c>
      <c r="I269" t="s">
        <v>77</v>
      </c>
      <c r="J269">
        <v>80124101</v>
      </c>
      <c r="K269">
        <v>61711102</v>
      </c>
    </row>
    <row r="270" spans="1:16" x14ac:dyDescent="0.35">
      <c r="A270" t="str">
        <f>_xlfn.XLOOKUP(I270,Sheet3!A:A,Sheet3!B:B)</f>
        <v>IT</v>
      </c>
      <c r="B270">
        <v>26</v>
      </c>
      <c r="C270">
        <f t="shared" si="4"/>
        <v>43</v>
      </c>
      <c r="D270" t="str">
        <f>A270&amp;-B270&amp;-C270</f>
        <v>IT-26-43</v>
      </c>
      <c r="E270" t="s">
        <v>213</v>
      </c>
      <c r="F270" s="5" t="s">
        <v>427</v>
      </c>
      <c r="H270"/>
      <c r="I270" t="s">
        <v>77</v>
      </c>
      <c r="J270">
        <v>80124101</v>
      </c>
      <c r="K270">
        <v>61711102</v>
      </c>
    </row>
    <row r="271" spans="1:16" x14ac:dyDescent="0.35">
      <c r="A271" t="str">
        <f>_xlfn.XLOOKUP(I271,Sheet3!A:A,Sheet3!B:B)</f>
        <v>IT</v>
      </c>
      <c r="B271">
        <v>26</v>
      </c>
      <c r="C271">
        <f t="shared" si="4"/>
        <v>44</v>
      </c>
      <c r="D271" t="str">
        <f>A271&amp;-B271&amp;-C271</f>
        <v>IT-26-44</v>
      </c>
      <c r="E271" t="s">
        <v>213</v>
      </c>
      <c r="F271" s="5" t="s">
        <v>429</v>
      </c>
      <c r="H271"/>
      <c r="I271" t="s">
        <v>77</v>
      </c>
      <c r="J271">
        <v>81124101</v>
      </c>
      <c r="K271">
        <v>52952103</v>
      </c>
    </row>
    <row r="272" spans="1:16" x14ac:dyDescent="0.35">
      <c r="A272" t="str">
        <f>_xlfn.XLOOKUP(I272,Sheet3!A:A,Sheet3!B:B)</f>
        <v>IT</v>
      </c>
      <c r="B272">
        <v>26</v>
      </c>
      <c r="C272">
        <f t="shared" si="4"/>
        <v>45</v>
      </c>
      <c r="D272" t="str">
        <f>A272&amp;-B272&amp;-C272</f>
        <v>IT-26-45</v>
      </c>
      <c r="E272" t="s">
        <v>213</v>
      </c>
      <c r="F272" s="5" t="s">
        <v>68</v>
      </c>
      <c r="H272" t="s">
        <v>175</v>
      </c>
      <c r="I272" t="s">
        <v>77</v>
      </c>
      <c r="J272">
        <v>81124101</v>
      </c>
      <c r="K272">
        <v>52952103</v>
      </c>
    </row>
    <row r="273" spans="1:16" x14ac:dyDescent="0.35">
      <c r="A273" t="str">
        <f>_xlfn.XLOOKUP(I273,Sheet3!A:A,Sheet3!B:B)</f>
        <v>IT</v>
      </c>
      <c r="B273">
        <v>26</v>
      </c>
      <c r="C273">
        <f t="shared" si="4"/>
        <v>46</v>
      </c>
      <c r="D273" t="str">
        <f>A273&amp;-B273&amp;-C273</f>
        <v>IT-26-46</v>
      </c>
      <c r="E273" t="s">
        <v>213</v>
      </c>
      <c r="F273" s="5" t="s">
        <v>431</v>
      </c>
      <c r="H273"/>
      <c r="I273" t="s">
        <v>77</v>
      </c>
      <c r="J273">
        <v>81124101</v>
      </c>
      <c r="K273">
        <v>52952103</v>
      </c>
    </row>
    <row r="274" spans="1:16" x14ac:dyDescent="0.35">
      <c r="A274" t="str">
        <f>_xlfn.XLOOKUP(I274,Sheet3!A:A,Sheet3!B:B)</f>
        <v>IT</v>
      </c>
      <c r="B274">
        <v>26</v>
      </c>
      <c r="C274">
        <f t="shared" si="4"/>
        <v>47</v>
      </c>
      <c r="D274" t="str">
        <f>A274&amp;-B274&amp;-C274</f>
        <v>IT-26-47</v>
      </c>
      <c r="E274" t="s">
        <v>213</v>
      </c>
      <c r="F274" s="5" t="s">
        <v>69</v>
      </c>
      <c r="H274" t="s">
        <v>178</v>
      </c>
      <c r="I274" t="s">
        <v>77</v>
      </c>
      <c r="J274">
        <v>80124101</v>
      </c>
      <c r="K274">
        <v>61711102</v>
      </c>
    </row>
    <row r="275" spans="1:16" x14ac:dyDescent="0.35">
      <c r="A275" t="str">
        <f>_xlfn.XLOOKUP(I275,Sheet3!A:A,Sheet3!B:B)</f>
        <v>IT</v>
      </c>
      <c r="B275">
        <v>26</v>
      </c>
      <c r="C275">
        <f t="shared" si="4"/>
        <v>48</v>
      </c>
      <c r="D275" t="str">
        <f>A275&amp;-B275&amp;-C275</f>
        <v>IT-26-48</v>
      </c>
      <c r="E275" t="s">
        <v>213</v>
      </c>
      <c r="F275" s="5" t="s">
        <v>240</v>
      </c>
      <c r="H275"/>
      <c r="I275" t="s">
        <v>77</v>
      </c>
      <c r="J275">
        <v>81124101</v>
      </c>
      <c r="K275">
        <v>52952103</v>
      </c>
    </row>
    <row r="276" spans="1:16" x14ac:dyDescent="0.35">
      <c r="A276" t="str">
        <f>_xlfn.XLOOKUP(I276,Sheet3!A:A,Sheet3!B:B)</f>
        <v>IT</v>
      </c>
      <c r="B276">
        <v>26</v>
      </c>
      <c r="C276">
        <f t="shared" si="4"/>
        <v>49</v>
      </c>
      <c r="D276" t="str">
        <f>A276&amp;-B276&amp;-C276</f>
        <v>IT-26-49</v>
      </c>
      <c r="E276" t="s">
        <v>213</v>
      </c>
      <c r="F276" s="5" t="s">
        <v>58</v>
      </c>
      <c r="H276" t="s">
        <v>182</v>
      </c>
      <c r="I276" t="s">
        <v>77</v>
      </c>
      <c r="J276">
        <v>80124101</v>
      </c>
      <c r="K276">
        <v>61711102</v>
      </c>
      <c r="P276" t="s">
        <v>77</v>
      </c>
    </row>
    <row r="277" spans="1:16" x14ac:dyDescent="0.35">
      <c r="A277" t="str">
        <f>_xlfn.XLOOKUP(I277,Sheet3!A:A,Sheet3!B:B)</f>
        <v>IT</v>
      </c>
      <c r="B277">
        <v>26</v>
      </c>
      <c r="C277">
        <f t="shared" si="4"/>
        <v>50</v>
      </c>
      <c r="D277" t="str">
        <f>A277&amp;-B277&amp;-C277</f>
        <v>IT-26-50</v>
      </c>
      <c r="E277" t="s">
        <v>213</v>
      </c>
      <c r="F277" s="5" t="s">
        <v>62</v>
      </c>
      <c r="H277" t="s">
        <v>184</v>
      </c>
      <c r="I277" t="s">
        <v>77</v>
      </c>
      <c r="J277">
        <v>80124101</v>
      </c>
      <c r="K277">
        <v>61711102</v>
      </c>
      <c r="P277" t="s">
        <v>77</v>
      </c>
    </row>
    <row r="278" spans="1:16" x14ac:dyDescent="0.35">
      <c r="A278" t="str">
        <f>_xlfn.XLOOKUP(I278,Sheet3!A:A,Sheet3!B:B)</f>
        <v>IT</v>
      </c>
      <c r="B278">
        <v>26</v>
      </c>
      <c r="C278">
        <f t="shared" si="4"/>
        <v>51</v>
      </c>
      <c r="D278" t="str">
        <f>A278&amp;-B278&amp;-C278</f>
        <v>IT-26-51</v>
      </c>
      <c r="E278" t="s">
        <v>213</v>
      </c>
      <c r="F278" s="5" t="s">
        <v>73</v>
      </c>
      <c r="H278" t="s">
        <v>185</v>
      </c>
      <c r="I278" t="s">
        <v>77</v>
      </c>
      <c r="J278">
        <v>81124101</v>
      </c>
      <c r="K278">
        <v>52952103</v>
      </c>
    </row>
    <row r="279" spans="1:16" x14ac:dyDescent="0.35">
      <c r="A279" t="str">
        <f>_xlfn.XLOOKUP(I279,Sheet3!A:A,Sheet3!B:B)</f>
        <v>IT</v>
      </c>
      <c r="B279">
        <v>26</v>
      </c>
      <c r="C279">
        <f t="shared" si="4"/>
        <v>52</v>
      </c>
      <c r="D279" t="str">
        <f>A279&amp;-B279&amp;-C279</f>
        <v>IT-26-52</v>
      </c>
      <c r="E279" t="s">
        <v>213</v>
      </c>
      <c r="F279" s="5" t="s">
        <v>47</v>
      </c>
      <c r="H279" t="s">
        <v>187</v>
      </c>
      <c r="I279" t="s">
        <v>77</v>
      </c>
      <c r="J279">
        <v>80124101</v>
      </c>
      <c r="K279">
        <v>61711102</v>
      </c>
      <c r="P279" t="s">
        <v>77</v>
      </c>
    </row>
    <row r="280" spans="1:16" x14ac:dyDescent="0.35">
      <c r="A280" t="str">
        <f>_xlfn.XLOOKUP(I280,Sheet3!A:A,Sheet3!B:B)</f>
        <v>IT</v>
      </c>
      <c r="B280">
        <v>26</v>
      </c>
      <c r="C280">
        <f t="shared" si="4"/>
        <v>53</v>
      </c>
      <c r="D280" t="str">
        <f>A280&amp;-B280&amp;-C280</f>
        <v>IT-26-53</v>
      </c>
      <c r="E280" t="s">
        <v>213</v>
      </c>
      <c r="F280" s="5" t="s">
        <v>71</v>
      </c>
      <c r="H280" t="s">
        <v>192</v>
      </c>
      <c r="I280" t="s">
        <v>77</v>
      </c>
      <c r="J280">
        <v>80124101</v>
      </c>
      <c r="K280">
        <v>61711102</v>
      </c>
    </row>
    <row r="281" spans="1:16" x14ac:dyDescent="0.35">
      <c r="A281" t="str">
        <f>_xlfn.XLOOKUP(I281,Sheet3!A:A,Sheet3!B:B)</f>
        <v>IT</v>
      </c>
      <c r="B281">
        <v>26</v>
      </c>
      <c r="C281">
        <f t="shared" si="4"/>
        <v>54</v>
      </c>
      <c r="D281" t="str">
        <f>A281&amp;-B281&amp;-C281</f>
        <v>IT-26-54</v>
      </c>
      <c r="E281" t="s">
        <v>213</v>
      </c>
      <c r="F281" s="5" t="s">
        <v>428</v>
      </c>
      <c r="H281"/>
      <c r="I281" t="s">
        <v>77</v>
      </c>
      <c r="J281">
        <v>81124101</v>
      </c>
      <c r="K281">
        <v>52952103</v>
      </c>
    </row>
    <row r="282" spans="1:16" x14ac:dyDescent="0.35">
      <c r="A282" t="str">
        <f>_xlfn.XLOOKUP(I282,Sheet3!A:A,Sheet3!B:B)</f>
        <v>IT</v>
      </c>
      <c r="B282">
        <v>26</v>
      </c>
      <c r="C282">
        <f t="shared" si="4"/>
        <v>55</v>
      </c>
      <c r="D282" t="str">
        <f>A282&amp;-B282&amp;-C282</f>
        <v>IT-26-55</v>
      </c>
      <c r="E282" t="s">
        <v>213</v>
      </c>
      <c r="F282" s="5" t="s">
        <v>417</v>
      </c>
      <c r="H282" t="s">
        <v>193</v>
      </c>
      <c r="I282" t="s">
        <v>77</v>
      </c>
      <c r="J282">
        <v>81124101</v>
      </c>
      <c r="K282">
        <v>52952103</v>
      </c>
      <c r="P282" t="s">
        <v>77</v>
      </c>
    </row>
    <row r="283" spans="1:16" x14ac:dyDescent="0.35">
      <c r="A283" t="str">
        <f>_xlfn.XLOOKUP(I283,Sheet3!A:A,Sheet3!B:B)</f>
        <v>IT</v>
      </c>
      <c r="B283">
        <v>26</v>
      </c>
      <c r="C283">
        <f t="shared" si="4"/>
        <v>56</v>
      </c>
      <c r="D283" t="str">
        <f>A283&amp;-B283&amp;-C283</f>
        <v>IT-26-56</v>
      </c>
      <c r="E283" t="s">
        <v>213</v>
      </c>
      <c r="F283" s="5" t="s">
        <v>51</v>
      </c>
      <c r="H283" t="s">
        <v>194</v>
      </c>
      <c r="I283" t="s">
        <v>77</v>
      </c>
      <c r="J283">
        <v>80124101</v>
      </c>
      <c r="K283">
        <v>61711102</v>
      </c>
      <c r="P283" t="s">
        <v>77</v>
      </c>
    </row>
    <row r="284" spans="1:16" ht="29" x14ac:dyDescent="0.35">
      <c r="A284" t="str">
        <f>_xlfn.XLOOKUP(I284,Sheet3!A:A,Sheet3!B:B)</f>
        <v>IT</v>
      </c>
      <c r="B284">
        <v>26</v>
      </c>
      <c r="C284">
        <f t="shared" si="4"/>
        <v>57</v>
      </c>
      <c r="D284" t="str">
        <f>A284&amp;-B284&amp;-C284</f>
        <v>IT-26-57</v>
      </c>
      <c r="E284" t="s">
        <v>213</v>
      </c>
      <c r="F284" s="5" t="s">
        <v>50</v>
      </c>
      <c r="H284" t="s">
        <v>195</v>
      </c>
      <c r="I284" t="s">
        <v>77</v>
      </c>
      <c r="J284">
        <v>80124101</v>
      </c>
      <c r="K284">
        <v>61711102</v>
      </c>
      <c r="P284" t="s">
        <v>77</v>
      </c>
    </row>
    <row r="285" spans="1:16" x14ac:dyDescent="0.35">
      <c r="A285" t="str">
        <f>_xlfn.XLOOKUP(I285,Sheet3!A:A,Sheet3!B:B)</f>
        <v>IT</v>
      </c>
      <c r="B285">
        <v>26</v>
      </c>
      <c r="C285">
        <f t="shared" si="4"/>
        <v>58</v>
      </c>
      <c r="D285" t="str">
        <f>A285&amp;-B285&amp;-C285</f>
        <v>IT-26-58</v>
      </c>
      <c r="E285" t="s">
        <v>213</v>
      </c>
      <c r="F285" s="5" t="s">
        <v>59</v>
      </c>
      <c r="H285" t="s">
        <v>196</v>
      </c>
      <c r="I285" t="s">
        <v>77</v>
      </c>
      <c r="J285">
        <v>80124101</v>
      </c>
      <c r="K285">
        <v>61711102</v>
      </c>
    </row>
    <row r="286" spans="1:16" x14ac:dyDescent="0.35">
      <c r="A286" t="str">
        <f>_xlfn.XLOOKUP(I286,Sheet3!A:A,Sheet3!B:B)</f>
        <v>IT</v>
      </c>
      <c r="B286">
        <v>26</v>
      </c>
      <c r="C286">
        <f t="shared" si="4"/>
        <v>59</v>
      </c>
      <c r="D286" t="str">
        <f>A286&amp;-B286&amp;-C286</f>
        <v>IT-26-59</v>
      </c>
      <c r="E286" t="s">
        <v>213</v>
      </c>
      <c r="F286" s="5" t="s">
        <v>75</v>
      </c>
      <c r="H286" t="s">
        <v>197</v>
      </c>
      <c r="I286" t="s">
        <v>77</v>
      </c>
      <c r="J286">
        <v>80124101</v>
      </c>
      <c r="K286">
        <v>61711102</v>
      </c>
    </row>
    <row r="287" spans="1:16" x14ac:dyDescent="0.35">
      <c r="A287" t="str">
        <f>_xlfn.XLOOKUP(I287,Sheet3!A:A,Sheet3!B:B)</f>
        <v>IT</v>
      </c>
      <c r="B287">
        <v>26</v>
      </c>
      <c r="C287">
        <f t="shared" si="4"/>
        <v>60</v>
      </c>
      <c r="D287" t="str">
        <f>A287&amp;-B287&amp;-C287</f>
        <v>IT-26-60</v>
      </c>
      <c r="E287" t="s">
        <v>213</v>
      </c>
      <c r="F287" s="5" t="s">
        <v>65</v>
      </c>
      <c r="H287"/>
      <c r="I287" t="s">
        <v>77</v>
      </c>
      <c r="J287">
        <v>80124101</v>
      </c>
      <c r="K287">
        <v>61711102</v>
      </c>
      <c r="P287" t="s">
        <v>77</v>
      </c>
    </row>
    <row r="288" spans="1:16" x14ac:dyDescent="0.35">
      <c r="A288" t="str">
        <f>_xlfn.XLOOKUP(I288,Sheet3!A:A,Sheet3!B:B)</f>
        <v>IT</v>
      </c>
      <c r="B288">
        <v>26</v>
      </c>
      <c r="C288">
        <f t="shared" si="4"/>
        <v>61</v>
      </c>
      <c r="D288" t="str">
        <f>A288&amp;-B288&amp;-C288</f>
        <v>IT-26-61</v>
      </c>
      <c r="E288" t="s">
        <v>213</v>
      </c>
      <c r="F288" s="5" t="s">
        <v>430</v>
      </c>
      <c r="H288"/>
      <c r="I288" t="s">
        <v>77</v>
      </c>
      <c r="J288">
        <v>81124101</v>
      </c>
      <c r="K288">
        <v>52952103</v>
      </c>
    </row>
    <row r="289" spans="1:16" x14ac:dyDescent="0.35">
      <c r="A289" t="str">
        <f>_xlfn.XLOOKUP(I289,Sheet3!A:A,Sheet3!B:B)</f>
        <v>IT</v>
      </c>
      <c r="B289">
        <v>26</v>
      </c>
      <c r="C289">
        <f t="shared" si="4"/>
        <v>62</v>
      </c>
      <c r="D289" t="str">
        <f>A289&amp;-B289&amp;-C289</f>
        <v>IT-26-62</v>
      </c>
      <c r="E289" t="s">
        <v>213</v>
      </c>
      <c r="F289" s="5" t="s">
        <v>70</v>
      </c>
      <c r="H289" t="s">
        <v>200</v>
      </c>
      <c r="I289" t="s">
        <v>77</v>
      </c>
      <c r="J289">
        <v>80124101</v>
      </c>
      <c r="K289">
        <v>61711102</v>
      </c>
    </row>
    <row r="290" spans="1:16" x14ac:dyDescent="0.35">
      <c r="A290" t="str">
        <f>_xlfn.XLOOKUP(I290,Sheet3!A:A,Sheet3!B:B)</f>
        <v>IT</v>
      </c>
      <c r="B290">
        <v>26</v>
      </c>
      <c r="C290">
        <f t="shared" si="4"/>
        <v>63</v>
      </c>
      <c r="D290" t="str">
        <f>A290&amp;-B290&amp;-C290</f>
        <v>IT-26-63</v>
      </c>
      <c r="E290" t="s">
        <v>213</v>
      </c>
      <c r="F290" s="5" t="s">
        <v>76</v>
      </c>
      <c r="H290" t="s">
        <v>204</v>
      </c>
      <c r="I290" t="s">
        <v>77</v>
      </c>
      <c r="J290">
        <v>81124101</v>
      </c>
      <c r="K290">
        <v>52952103</v>
      </c>
    </row>
    <row r="291" spans="1:16" x14ac:dyDescent="0.35">
      <c r="A291" t="str">
        <f>_xlfn.XLOOKUP(I291,Sheet3!A:A,Sheet3!B:B)</f>
        <v>IT</v>
      </c>
      <c r="B291">
        <v>26</v>
      </c>
      <c r="C291">
        <f t="shared" si="4"/>
        <v>64</v>
      </c>
      <c r="D291" t="str">
        <f>A291&amp;-B291&amp;-C291</f>
        <v>IT-26-64</v>
      </c>
      <c r="E291" t="s">
        <v>213</v>
      </c>
      <c r="F291" s="5" t="s">
        <v>61</v>
      </c>
      <c r="H291"/>
      <c r="I291" t="s">
        <v>77</v>
      </c>
      <c r="J291">
        <v>80124101</v>
      </c>
      <c r="K291">
        <v>61711102</v>
      </c>
    </row>
    <row r="292" spans="1:16" x14ac:dyDescent="0.35">
      <c r="A292" t="str">
        <f>_xlfn.XLOOKUP(I292,Sheet3!A:A,Sheet3!B:B)</f>
        <v>IT</v>
      </c>
      <c r="B292">
        <v>26</v>
      </c>
      <c r="C292">
        <f t="shared" si="4"/>
        <v>65</v>
      </c>
      <c r="D292" t="str">
        <f>A292&amp;-B292&amp;-C292</f>
        <v>IT-26-65</v>
      </c>
      <c r="E292" t="s">
        <v>209</v>
      </c>
      <c r="F292" s="5" t="s">
        <v>180</v>
      </c>
      <c r="H292" t="s">
        <v>181</v>
      </c>
      <c r="I292" t="s">
        <v>77</v>
      </c>
      <c r="J292">
        <v>81124101</v>
      </c>
      <c r="K292">
        <v>52952103</v>
      </c>
      <c r="P292" t="s">
        <v>77</v>
      </c>
    </row>
    <row r="293" spans="1:16" x14ac:dyDescent="0.35">
      <c r="A293" t="str">
        <f>_xlfn.XLOOKUP(I293,Sheet3!A:A,Sheet3!B:B)</f>
        <v>LG</v>
      </c>
      <c r="B293">
        <v>26</v>
      </c>
      <c r="C293">
        <v>1</v>
      </c>
      <c r="D293" t="str">
        <f>A293&amp;-B293&amp;-C293</f>
        <v>LG-26-1</v>
      </c>
      <c r="E293" t="s">
        <v>337</v>
      </c>
      <c r="F293" s="5" t="s">
        <v>338</v>
      </c>
      <c r="I293" t="s">
        <v>327</v>
      </c>
      <c r="J293">
        <v>80123101</v>
      </c>
      <c r="K293">
        <v>61071002</v>
      </c>
      <c r="P293" t="s">
        <v>327</v>
      </c>
    </row>
    <row r="294" spans="1:16" x14ac:dyDescent="0.35">
      <c r="A294" t="str">
        <f>_xlfn.XLOOKUP(I294,Sheet3!A:A,Sheet3!B:B)</f>
        <v>LG</v>
      </c>
      <c r="B294">
        <v>26</v>
      </c>
      <c r="C294">
        <f>C293+1</f>
        <v>2</v>
      </c>
      <c r="D294" t="str">
        <f>A294&amp;-B294&amp;-C294</f>
        <v>LG-26-2</v>
      </c>
      <c r="E294" t="s">
        <v>337</v>
      </c>
      <c r="F294" s="5" t="s">
        <v>338</v>
      </c>
      <c r="I294" t="s">
        <v>327</v>
      </c>
      <c r="J294">
        <v>90123101</v>
      </c>
      <c r="K294">
        <v>61071002</v>
      </c>
      <c r="P294" t="s">
        <v>327</v>
      </c>
    </row>
    <row r="295" spans="1:16" x14ac:dyDescent="0.35">
      <c r="A295" t="str">
        <f>_xlfn.XLOOKUP(I295,Sheet3!A:A,Sheet3!B:B)</f>
        <v>LG</v>
      </c>
      <c r="B295">
        <v>26</v>
      </c>
      <c r="C295">
        <f t="shared" ref="C295:C304" si="5">C294+1</f>
        <v>3</v>
      </c>
      <c r="D295" t="str">
        <f>A295&amp;-B295&amp;-C295</f>
        <v>LG-26-3</v>
      </c>
      <c r="E295" t="s">
        <v>337</v>
      </c>
      <c r="F295" s="5" t="s">
        <v>338</v>
      </c>
      <c r="I295" t="s">
        <v>327</v>
      </c>
      <c r="J295">
        <v>81123101</v>
      </c>
      <c r="K295">
        <v>52071102</v>
      </c>
      <c r="P295" t="s">
        <v>327</v>
      </c>
    </row>
    <row r="296" spans="1:16" x14ac:dyDescent="0.35">
      <c r="A296" t="str">
        <f>_xlfn.XLOOKUP(I296,Sheet3!A:A,Sheet3!B:B)</f>
        <v>LG</v>
      </c>
      <c r="B296">
        <v>26</v>
      </c>
      <c r="C296">
        <f t="shared" si="5"/>
        <v>4</v>
      </c>
      <c r="D296" t="str">
        <f>A296&amp;-B296&amp;-C296</f>
        <v>LG-26-4</v>
      </c>
      <c r="E296" t="s">
        <v>337</v>
      </c>
      <c r="F296" t="s">
        <v>339</v>
      </c>
      <c r="I296" t="s">
        <v>327</v>
      </c>
      <c r="J296">
        <v>80123101</v>
      </c>
      <c r="K296">
        <v>61071005</v>
      </c>
      <c r="P296" t="s">
        <v>327</v>
      </c>
    </row>
    <row r="297" spans="1:16" x14ac:dyDescent="0.35">
      <c r="A297" t="str">
        <f>_xlfn.XLOOKUP(I297,Sheet3!A:A,Sheet3!B:B)</f>
        <v>LG</v>
      </c>
      <c r="B297">
        <v>26</v>
      </c>
      <c r="C297">
        <f t="shared" si="5"/>
        <v>5</v>
      </c>
      <c r="D297" t="str">
        <f>A297&amp;-B297&amp;-C297</f>
        <v>LG-26-5</v>
      </c>
      <c r="E297" t="s">
        <v>337</v>
      </c>
      <c r="F297" t="s">
        <v>340</v>
      </c>
      <c r="I297" t="s">
        <v>327</v>
      </c>
      <c r="J297">
        <v>80123101</v>
      </c>
      <c r="K297">
        <v>61071005</v>
      </c>
      <c r="P297" t="s">
        <v>327</v>
      </c>
    </row>
    <row r="298" spans="1:16" x14ac:dyDescent="0.35">
      <c r="A298" t="str">
        <f>_xlfn.XLOOKUP(I298,Sheet3!A:A,Sheet3!B:B)</f>
        <v>LG</v>
      </c>
      <c r="B298">
        <v>26</v>
      </c>
      <c r="C298">
        <f t="shared" si="5"/>
        <v>6</v>
      </c>
      <c r="D298" t="str">
        <f>A298&amp;-B298&amp;-C298</f>
        <v>LG-26-6</v>
      </c>
      <c r="E298" t="s">
        <v>337</v>
      </c>
      <c r="F298" t="s">
        <v>341</v>
      </c>
      <c r="I298" t="s">
        <v>327</v>
      </c>
      <c r="J298">
        <v>80123101</v>
      </c>
      <c r="K298">
        <v>61071005</v>
      </c>
      <c r="P298" t="s">
        <v>327</v>
      </c>
    </row>
    <row r="299" spans="1:16" x14ac:dyDescent="0.35">
      <c r="A299" t="str">
        <f>_xlfn.XLOOKUP(I299,Sheet3!A:A,Sheet3!B:B)</f>
        <v>LG</v>
      </c>
      <c r="B299">
        <v>26</v>
      </c>
      <c r="C299">
        <f t="shared" si="5"/>
        <v>7</v>
      </c>
      <c r="D299" t="str">
        <f>A299&amp;-B299&amp;-C299</f>
        <v>LG-26-7</v>
      </c>
      <c r="E299" t="s">
        <v>337</v>
      </c>
      <c r="F299" t="s">
        <v>342</v>
      </c>
      <c r="I299" t="s">
        <v>327</v>
      </c>
      <c r="J299">
        <v>80123101</v>
      </c>
      <c r="K299">
        <v>61071005</v>
      </c>
      <c r="P299" t="s">
        <v>327</v>
      </c>
    </row>
    <row r="300" spans="1:16" x14ac:dyDescent="0.35">
      <c r="A300" t="str">
        <f>_xlfn.XLOOKUP(I300,Sheet3!A:A,Sheet3!B:B)</f>
        <v>LG</v>
      </c>
      <c r="B300">
        <v>26</v>
      </c>
      <c r="C300">
        <f t="shared" si="5"/>
        <v>8</v>
      </c>
      <c r="D300" t="str">
        <f>A300&amp;-B300&amp;-C300</f>
        <v>LG-26-8</v>
      </c>
      <c r="E300" t="s">
        <v>337</v>
      </c>
      <c r="F300" t="s">
        <v>343</v>
      </c>
      <c r="I300" t="s">
        <v>327</v>
      </c>
      <c r="J300">
        <v>80123101</v>
      </c>
      <c r="K300">
        <v>61071005</v>
      </c>
      <c r="P300" t="s">
        <v>327</v>
      </c>
    </row>
    <row r="301" spans="1:16" x14ac:dyDescent="0.35">
      <c r="A301" t="str">
        <f>_xlfn.XLOOKUP(I301,Sheet3!A:A,Sheet3!B:B)</f>
        <v>LG</v>
      </c>
      <c r="B301">
        <v>26</v>
      </c>
      <c r="C301">
        <f t="shared" si="5"/>
        <v>9</v>
      </c>
      <c r="D301" t="str">
        <f>A301&amp;-B301&amp;-C301</f>
        <v>LG-26-9</v>
      </c>
      <c r="E301" s="5" t="s">
        <v>326</v>
      </c>
      <c r="F301" s="5" t="s">
        <v>326</v>
      </c>
      <c r="I301" t="s">
        <v>327</v>
      </c>
      <c r="J301">
        <v>80123101</v>
      </c>
      <c r="K301">
        <v>61071099</v>
      </c>
    </row>
    <row r="302" spans="1:16" x14ac:dyDescent="0.35">
      <c r="A302" t="str">
        <f>_xlfn.XLOOKUP(I302,Sheet3!A:A,Sheet3!B:B)</f>
        <v>LG</v>
      </c>
      <c r="B302">
        <v>26</v>
      </c>
      <c r="C302">
        <f t="shared" si="5"/>
        <v>10</v>
      </c>
      <c r="D302" t="str">
        <f>A302&amp;-B302&amp;-C302</f>
        <v>LG-26-10</v>
      </c>
      <c r="E302" t="s">
        <v>269</v>
      </c>
      <c r="F302" s="5" t="s">
        <v>286</v>
      </c>
      <c r="I302" s="5" t="s">
        <v>327</v>
      </c>
      <c r="J302">
        <v>80123101</v>
      </c>
      <c r="K302">
        <v>61711101</v>
      </c>
      <c r="P302" t="s">
        <v>327</v>
      </c>
    </row>
    <row r="303" spans="1:16" ht="29" x14ac:dyDescent="0.35">
      <c r="A303" t="str">
        <f>_xlfn.XLOOKUP(I303,Sheet3!A:A,Sheet3!B:B)</f>
        <v>LG</v>
      </c>
      <c r="B303">
        <v>26</v>
      </c>
      <c r="C303">
        <f t="shared" si="5"/>
        <v>11</v>
      </c>
      <c r="D303" t="str">
        <f>A303&amp;-B303&amp;-C303</f>
        <v>LG-26-11</v>
      </c>
      <c r="E303" t="s">
        <v>269</v>
      </c>
      <c r="F303" s="5" t="s">
        <v>287</v>
      </c>
      <c r="I303" s="5" t="s">
        <v>327</v>
      </c>
      <c r="J303">
        <v>90123101</v>
      </c>
      <c r="K303">
        <v>61711101</v>
      </c>
      <c r="P303" t="s">
        <v>327</v>
      </c>
    </row>
    <row r="304" spans="1:16" x14ac:dyDescent="0.35">
      <c r="A304" t="str">
        <f>_xlfn.XLOOKUP(I304,Sheet3!A:A,Sheet3!B:B)</f>
        <v>LG</v>
      </c>
      <c r="B304">
        <v>26</v>
      </c>
      <c r="C304">
        <f t="shared" si="5"/>
        <v>12</v>
      </c>
      <c r="D304" t="str">
        <f>A304&amp;-B304&amp;-C304</f>
        <v>LG-26-12</v>
      </c>
      <c r="E304" t="s">
        <v>269</v>
      </c>
      <c r="F304" s="5" t="s">
        <v>288</v>
      </c>
      <c r="I304" s="5" t="s">
        <v>327</v>
      </c>
      <c r="J304">
        <v>90122101</v>
      </c>
      <c r="K304">
        <v>61711101</v>
      </c>
      <c r="P304" t="s">
        <v>327</v>
      </c>
    </row>
    <row r="305" spans="1:16" x14ac:dyDescent="0.35">
      <c r="A305" t="str">
        <f>_xlfn.XLOOKUP(I305,Sheet3!A:A,Sheet3!B:B)</f>
        <v>CF</v>
      </c>
      <c r="B305">
        <v>26</v>
      </c>
      <c r="C305">
        <v>1</v>
      </c>
      <c r="D305" t="str">
        <f>A305&amp;-B305&amp;-C305</f>
        <v>CF-26-1</v>
      </c>
      <c r="E305" s="5" t="s">
        <v>290</v>
      </c>
      <c r="F305" s="5" t="s">
        <v>290</v>
      </c>
      <c r="G305" s="5" t="s">
        <v>221</v>
      </c>
      <c r="I305" s="5" t="s">
        <v>292</v>
      </c>
      <c r="J305">
        <v>81111204</v>
      </c>
      <c r="K305">
        <v>52091102</v>
      </c>
    </row>
    <row r="306" spans="1:16" x14ac:dyDescent="0.35">
      <c r="A306" t="str">
        <f>_xlfn.XLOOKUP(I306,Sheet3!A:A,Sheet3!B:B)</f>
        <v>CF</v>
      </c>
      <c r="B306">
        <v>26</v>
      </c>
      <c r="C306">
        <f>C305+1</f>
        <v>2</v>
      </c>
      <c r="D306" t="str">
        <f>A306&amp;-B306&amp;-C306</f>
        <v>CF-26-2</v>
      </c>
      <c r="E306" s="5" t="s">
        <v>290</v>
      </c>
      <c r="F306" s="5" t="s">
        <v>290</v>
      </c>
      <c r="G306" s="5" t="s">
        <v>223</v>
      </c>
      <c r="I306" s="5" t="s">
        <v>292</v>
      </c>
      <c r="J306">
        <v>90111204</v>
      </c>
      <c r="K306">
        <v>61091102</v>
      </c>
    </row>
    <row r="307" spans="1:16" x14ac:dyDescent="0.35">
      <c r="A307" t="str">
        <f>_xlfn.XLOOKUP(I307,Sheet3!A:A,Sheet3!B:B)</f>
        <v>CF</v>
      </c>
      <c r="B307">
        <v>26</v>
      </c>
      <c r="C307">
        <f t="shared" ref="C307:C308" si="6">C306+1</f>
        <v>3</v>
      </c>
      <c r="D307" t="str">
        <f>A307&amp;-B307&amp;-C307</f>
        <v>CF-26-3</v>
      </c>
      <c r="E307" s="5" t="s">
        <v>290</v>
      </c>
      <c r="F307" s="5" t="s">
        <v>290</v>
      </c>
      <c r="G307" s="5" t="s">
        <v>222</v>
      </c>
      <c r="I307" s="5" t="s">
        <v>292</v>
      </c>
      <c r="J307">
        <v>80111204</v>
      </c>
      <c r="K307">
        <v>61091102</v>
      </c>
    </row>
    <row r="308" spans="1:16" ht="29" x14ac:dyDescent="0.35">
      <c r="A308" t="str">
        <f>_xlfn.XLOOKUP(I308,Sheet3!A:A,Sheet3!B:B)</f>
        <v>CF</v>
      </c>
      <c r="B308">
        <v>26</v>
      </c>
      <c r="C308">
        <f t="shared" si="6"/>
        <v>4</v>
      </c>
      <c r="D308" t="str">
        <f>A308&amp;-B308&amp;-C308</f>
        <v>CF-26-4</v>
      </c>
      <c r="E308" t="s">
        <v>269</v>
      </c>
      <c r="F308" s="5" t="s">
        <v>284</v>
      </c>
      <c r="I308" s="5" t="s">
        <v>292</v>
      </c>
      <c r="J308">
        <v>81134102</v>
      </c>
      <c r="K308">
        <v>52952101</v>
      </c>
      <c r="P308" t="s">
        <v>370</v>
      </c>
    </row>
    <row r="309" spans="1:16" x14ac:dyDescent="0.35">
      <c r="A309" t="str">
        <f>_xlfn.XLOOKUP(I309,Sheet3!A:A,Sheet3!B:B)</f>
        <v>OM</v>
      </c>
      <c r="B309">
        <v>26</v>
      </c>
      <c r="C309">
        <v>1</v>
      </c>
      <c r="D309" t="str">
        <f>A309&amp;-B309&amp;-C309</f>
        <v>OM-26-1</v>
      </c>
      <c r="E309" t="s">
        <v>313</v>
      </c>
      <c r="F309" t="s">
        <v>232</v>
      </c>
      <c r="I309" t="s">
        <v>302</v>
      </c>
      <c r="J309">
        <v>81319101</v>
      </c>
      <c r="K309">
        <v>52111102</v>
      </c>
      <c r="P309" t="s">
        <v>302</v>
      </c>
    </row>
    <row r="310" spans="1:16" x14ac:dyDescent="0.35">
      <c r="A310" t="str">
        <f>_xlfn.XLOOKUP(I310,Sheet3!A:A,Sheet3!B:B)</f>
        <v>OM</v>
      </c>
      <c r="B310">
        <v>26</v>
      </c>
      <c r="C310">
        <f>C309+1</f>
        <v>2</v>
      </c>
      <c r="D310" t="str">
        <f>A310&amp;-B310&amp;-C310</f>
        <v>OM-26-2</v>
      </c>
      <c r="E310" t="s">
        <v>313</v>
      </c>
      <c r="F310" t="s">
        <v>233</v>
      </c>
      <c r="I310" t="s">
        <v>302</v>
      </c>
      <c r="J310">
        <v>81319101</v>
      </c>
      <c r="K310">
        <v>52111102</v>
      </c>
      <c r="P310" t="s">
        <v>302</v>
      </c>
    </row>
    <row r="311" spans="1:16" x14ac:dyDescent="0.35">
      <c r="A311" t="str">
        <f>_xlfn.XLOOKUP(I311,Sheet3!A:A,Sheet3!B:B)</f>
        <v>OM</v>
      </c>
      <c r="B311">
        <v>26</v>
      </c>
      <c r="C311">
        <f>C310+1</f>
        <v>3</v>
      </c>
      <c r="D311" t="str">
        <f>A311&amp;-B311&amp;-C311</f>
        <v>OM-26-3</v>
      </c>
      <c r="E311" t="s">
        <v>311</v>
      </c>
      <c r="F311" s="5" t="s">
        <v>265</v>
      </c>
      <c r="I311" t="s">
        <v>302</v>
      </c>
      <c r="J311">
        <v>81319101</v>
      </c>
      <c r="K311">
        <v>52111101</v>
      </c>
      <c r="L311" t="s">
        <v>251</v>
      </c>
      <c r="P311" t="s">
        <v>302</v>
      </c>
    </row>
    <row r="312" spans="1:16" x14ac:dyDescent="0.35">
      <c r="A312" t="str">
        <f>_xlfn.XLOOKUP(I312,Sheet3!A:A,Sheet3!B:B)</f>
        <v>OM</v>
      </c>
      <c r="B312">
        <v>26</v>
      </c>
      <c r="C312">
        <f>C311+1</f>
        <v>4</v>
      </c>
      <c r="D312" t="str">
        <f>A312&amp;-B312&amp;-C312</f>
        <v>OM-26-4</v>
      </c>
      <c r="E312" t="s">
        <v>311</v>
      </c>
      <c r="F312" t="s">
        <v>271</v>
      </c>
      <c r="I312" t="s">
        <v>302</v>
      </c>
      <c r="J312">
        <v>81319101</v>
      </c>
      <c r="K312">
        <v>52111101</v>
      </c>
      <c r="P312" t="s">
        <v>302</v>
      </c>
    </row>
    <row r="313" spans="1:16" x14ac:dyDescent="0.35">
      <c r="A313" t="str">
        <f>_xlfn.XLOOKUP(I313,Sheet3!A:A,Sheet3!B:B)</f>
        <v>OM</v>
      </c>
      <c r="B313">
        <v>26</v>
      </c>
      <c r="C313">
        <f>C312+1</f>
        <v>5</v>
      </c>
      <c r="D313" t="str">
        <f>A313&amp;-B313&amp;-C313</f>
        <v>OM-26-5</v>
      </c>
      <c r="E313" t="s">
        <v>301</v>
      </c>
      <c r="F313" t="s">
        <v>235</v>
      </c>
      <c r="I313" t="s">
        <v>302</v>
      </c>
      <c r="J313">
        <v>81319101</v>
      </c>
      <c r="K313">
        <v>52061103</v>
      </c>
      <c r="P313" t="s">
        <v>302</v>
      </c>
    </row>
    <row r="314" spans="1:16" x14ac:dyDescent="0.35">
      <c r="A314" t="str">
        <f>_xlfn.XLOOKUP(I314,Sheet3!A:A,Sheet3!B:B)</f>
        <v>OM</v>
      </c>
      <c r="B314">
        <v>26</v>
      </c>
      <c r="C314">
        <f>C313+1</f>
        <v>6</v>
      </c>
      <c r="D314" t="str">
        <f>A314&amp;-B314&amp;-C314</f>
        <v>OM-26-6</v>
      </c>
      <c r="E314" t="s">
        <v>301</v>
      </c>
      <c r="F314" s="8" t="s">
        <v>272</v>
      </c>
      <c r="I314" t="s">
        <v>302</v>
      </c>
      <c r="J314">
        <v>81319101</v>
      </c>
      <c r="K314">
        <v>52061101</v>
      </c>
      <c r="P314" t="s">
        <v>302</v>
      </c>
    </row>
    <row r="315" spans="1:16" x14ac:dyDescent="0.35">
      <c r="A315" t="str">
        <f>_xlfn.XLOOKUP(I315,Sheet3!A:A,Sheet3!B:B)</f>
        <v>OM</v>
      </c>
      <c r="B315">
        <v>26</v>
      </c>
      <c r="C315">
        <f>C314+1</f>
        <v>7</v>
      </c>
      <c r="D315" t="str">
        <f>A315&amp;-B315&amp;-C315</f>
        <v>OM-26-7</v>
      </c>
      <c r="E315" t="s">
        <v>301</v>
      </c>
      <c r="F315" s="5" t="s">
        <v>218</v>
      </c>
      <c r="I315" t="s">
        <v>302</v>
      </c>
      <c r="J315">
        <v>81319101</v>
      </c>
      <c r="K315">
        <v>52061103</v>
      </c>
      <c r="P315" t="s">
        <v>302</v>
      </c>
    </row>
    <row r="316" spans="1:16" x14ac:dyDescent="0.35">
      <c r="A316" t="str">
        <f>_xlfn.XLOOKUP(I316,Sheet3!A:A,Sheet3!B:B)</f>
        <v>OM</v>
      </c>
      <c r="B316">
        <v>26</v>
      </c>
      <c r="C316">
        <f>C315+1</f>
        <v>8</v>
      </c>
      <c r="D316" t="str">
        <f>A316&amp;-B316&amp;-C316</f>
        <v>OM-26-8</v>
      </c>
      <c r="E316" t="s">
        <v>301</v>
      </c>
      <c r="F316" t="s">
        <v>234</v>
      </c>
      <c r="I316" t="s">
        <v>302</v>
      </c>
      <c r="J316">
        <v>81319101</v>
      </c>
      <c r="K316">
        <v>52061105</v>
      </c>
      <c r="P316" t="s">
        <v>302</v>
      </c>
    </row>
    <row r="317" spans="1:16" ht="29" x14ac:dyDescent="0.35">
      <c r="A317" t="str">
        <f>_xlfn.XLOOKUP(I317,Sheet3!A:A,Sheet3!B:B)</f>
        <v>PR</v>
      </c>
      <c r="B317">
        <v>26</v>
      </c>
      <c r="C317">
        <v>1</v>
      </c>
      <c r="D317" t="str">
        <f>A317&amp;-B317&amp;-C317</f>
        <v>PR-26-1</v>
      </c>
      <c r="E317" t="s">
        <v>269</v>
      </c>
      <c r="F317" s="5" t="s">
        <v>289</v>
      </c>
      <c r="G317" s="5" t="s">
        <v>221</v>
      </c>
      <c r="I317" t="s">
        <v>354</v>
      </c>
      <c r="J317">
        <v>81133103</v>
      </c>
      <c r="K317">
        <v>52952101</v>
      </c>
      <c r="P317" s="5" t="s">
        <v>354</v>
      </c>
    </row>
    <row r="318" spans="1:16" ht="29" x14ac:dyDescent="0.35">
      <c r="A318" t="str">
        <f>_xlfn.XLOOKUP(I318,Sheet3!A:A,Sheet3!B:B)</f>
        <v>PR</v>
      </c>
      <c r="B318">
        <v>26</v>
      </c>
      <c r="C318">
        <f>C317+1</f>
        <v>2</v>
      </c>
      <c r="D318" t="str">
        <f>A318&amp;-B318&amp;-C318</f>
        <v>PR-26-2</v>
      </c>
      <c r="E318" t="s">
        <v>269</v>
      </c>
      <c r="F318" s="5" t="s">
        <v>289</v>
      </c>
      <c r="G318" s="5" t="s">
        <v>222</v>
      </c>
      <c r="I318" t="s">
        <v>354</v>
      </c>
      <c r="J318">
        <v>80133103</v>
      </c>
      <c r="K318">
        <v>61711101</v>
      </c>
      <c r="P318" s="5" t="s">
        <v>354</v>
      </c>
    </row>
    <row r="319" spans="1:16" x14ac:dyDescent="0.35">
      <c r="A319" t="str">
        <f>_xlfn.XLOOKUP(I319,Sheet3!A:A,Sheet3!B:B)</f>
        <v>TX</v>
      </c>
      <c r="B319">
        <v>26</v>
      </c>
      <c r="C319">
        <v>1</v>
      </c>
      <c r="D319" t="str">
        <f>A319&amp;-B319&amp;-C319</f>
        <v>TX-26-1</v>
      </c>
      <c r="E319" t="s">
        <v>329</v>
      </c>
      <c r="F319" t="s">
        <v>86</v>
      </c>
      <c r="G319" t="s">
        <v>222</v>
      </c>
      <c r="H319"/>
      <c r="I319" t="s">
        <v>87</v>
      </c>
      <c r="J319">
        <v>80133102</v>
      </c>
      <c r="K319">
        <v>61071004</v>
      </c>
      <c r="P319" t="s">
        <v>87</v>
      </c>
    </row>
    <row r="320" spans="1:16" x14ac:dyDescent="0.35">
      <c r="A320" t="str">
        <f>_xlfn.XLOOKUP(I320,Sheet3!A:A,Sheet3!B:B)</f>
        <v>TX</v>
      </c>
      <c r="B320">
        <v>26</v>
      </c>
      <c r="C320">
        <f>C319+1</f>
        <v>2</v>
      </c>
      <c r="D320" t="str">
        <f>A320&amp;-B320&amp;-C320</f>
        <v>TX-26-2</v>
      </c>
      <c r="E320" t="s">
        <v>329</v>
      </c>
      <c r="F320" t="s">
        <v>86</v>
      </c>
      <c r="G320" t="s">
        <v>221</v>
      </c>
      <c r="H320"/>
      <c r="I320" t="s">
        <v>87</v>
      </c>
      <c r="J320">
        <v>81133102</v>
      </c>
      <c r="K320">
        <v>52071104</v>
      </c>
    </row>
    <row r="321" spans="1:16" x14ac:dyDescent="0.35">
      <c r="A321" t="str">
        <f>_xlfn.XLOOKUP(I321,Sheet3!A:A,Sheet3!B:B)</f>
        <v>TX</v>
      </c>
      <c r="B321">
        <v>26</v>
      </c>
      <c r="C321">
        <f t="shared" ref="C321:C336" si="7">C320+1</f>
        <v>3</v>
      </c>
      <c r="D321" t="str">
        <f>A321&amp;-B321&amp;-C321</f>
        <v>TX-26-3</v>
      </c>
      <c r="E321" t="s">
        <v>329</v>
      </c>
      <c r="F321" t="s">
        <v>86</v>
      </c>
      <c r="G321" t="s">
        <v>223</v>
      </c>
      <c r="H321"/>
      <c r="I321" t="s">
        <v>87</v>
      </c>
      <c r="J321">
        <v>90133102</v>
      </c>
      <c r="K321">
        <v>52071104</v>
      </c>
    </row>
    <row r="322" spans="1:16" x14ac:dyDescent="0.35">
      <c r="A322" t="str">
        <f>_xlfn.XLOOKUP(I322,Sheet3!A:A,Sheet3!B:B)</f>
        <v>TX</v>
      </c>
      <c r="B322">
        <v>26</v>
      </c>
      <c r="C322">
        <f t="shared" si="7"/>
        <v>4</v>
      </c>
      <c r="D322" t="str">
        <f>A322&amp;-B322&amp;-C322</f>
        <v>TX-26-4</v>
      </c>
      <c r="E322" t="s">
        <v>249</v>
      </c>
      <c r="F322" t="s">
        <v>372</v>
      </c>
      <c r="G322"/>
      <c r="H322"/>
      <c r="I322" t="s">
        <v>87</v>
      </c>
      <c r="J322">
        <v>80133102</v>
      </c>
      <c r="K322">
        <v>61051199</v>
      </c>
      <c r="P322" t="s">
        <v>87</v>
      </c>
    </row>
    <row r="323" spans="1:16" x14ac:dyDescent="0.35">
      <c r="A323" t="str">
        <f>_xlfn.XLOOKUP(I323,Sheet3!A:A,Sheet3!B:B)</f>
        <v>TX</v>
      </c>
      <c r="B323">
        <v>26</v>
      </c>
      <c r="C323">
        <f t="shared" si="7"/>
        <v>5</v>
      </c>
      <c r="D323" t="str">
        <f>A323&amp;-B323&amp;-C323</f>
        <v>TX-26-5</v>
      </c>
      <c r="E323" t="s">
        <v>249</v>
      </c>
      <c r="F323" t="s">
        <v>380</v>
      </c>
      <c r="G323" t="s">
        <v>222</v>
      </c>
      <c r="H323"/>
      <c r="I323" t="s">
        <v>87</v>
      </c>
      <c r="J323">
        <v>80111101</v>
      </c>
      <c r="K323">
        <v>52031101</v>
      </c>
      <c r="P323" t="s">
        <v>87</v>
      </c>
    </row>
    <row r="324" spans="1:16" x14ac:dyDescent="0.35">
      <c r="A324" t="str">
        <f>_xlfn.XLOOKUP(I324,Sheet3!A:A,Sheet3!B:B)</f>
        <v>TX</v>
      </c>
      <c r="B324">
        <v>26</v>
      </c>
      <c r="C324">
        <f t="shared" si="7"/>
        <v>6</v>
      </c>
      <c r="D324" t="str">
        <f>A324&amp;-B324&amp;-C324</f>
        <v>TX-26-6</v>
      </c>
      <c r="E324" t="s">
        <v>249</v>
      </c>
      <c r="F324" t="s">
        <v>380</v>
      </c>
      <c r="G324" t="s">
        <v>221</v>
      </c>
      <c r="H324"/>
      <c r="I324" t="s">
        <v>87</v>
      </c>
      <c r="J324">
        <v>81111101</v>
      </c>
      <c r="K324">
        <v>52031101</v>
      </c>
      <c r="P324" t="s">
        <v>87</v>
      </c>
    </row>
    <row r="325" spans="1:16" x14ac:dyDescent="0.35">
      <c r="A325" t="str">
        <f>_xlfn.XLOOKUP(I325,Sheet3!A:A,Sheet3!B:B)</f>
        <v>TX</v>
      </c>
      <c r="B325">
        <v>26</v>
      </c>
      <c r="C325">
        <f t="shared" si="7"/>
        <v>7</v>
      </c>
      <c r="D325" t="str">
        <f>A325&amp;-B325&amp;-C325</f>
        <v>TX-26-7</v>
      </c>
      <c r="E325" t="s">
        <v>249</v>
      </c>
      <c r="F325" t="s">
        <v>376</v>
      </c>
      <c r="G325" t="s">
        <v>223</v>
      </c>
      <c r="H325"/>
      <c r="I325" t="s">
        <v>87</v>
      </c>
      <c r="J325">
        <v>90111101</v>
      </c>
      <c r="K325">
        <v>52031101</v>
      </c>
      <c r="P325" t="s">
        <v>87</v>
      </c>
    </row>
    <row r="326" spans="1:16" x14ac:dyDescent="0.35">
      <c r="A326" t="str">
        <f>_xlfn.XLOOKUP(I326,Sheet3!A:A,Sheet3!B:B)</f>
        <v>TX</v>
      </c>
      <c r="B326">
        <v>26</v>
      </c>
      <c r="C326">
        <f t="shared" si="7"/>
        <v>8</v>
      </c>
      <c r="D326" t="str">
        <f>A326&amp;-B326&amp;-C326</f>
        <v>TX-26-8</v>
      </c>
      <c r="E326" t="s">
        <v>249</v>
      </c>
      <c r="F326" t="s">
        <v>378</v>
      </c>
      <c r="G326" t="s">
        <v>223</v>
      </c>
      <c r="H326"/>
      <c r="I326" t="s">
        <v>87</v>
      </c>
      <c r="J326">
        <v>90111101</v>
      </c>
      <c r="K326">
        <v>52031101</v>
      </c>
      <c r="P326" t="s">
        <v>87</v>
      </c>
    </row>
    <row r="327" spans="1:16" x14ac:dyDescent="0.35">
      <c r="A327" t="str">
        <f>_xlfn.XLOOKUP(I327,Sheet3!A:A,Sheet3!B:B)</f>
        <v>TX</v>
      </c>
      <c r="B327">
        <v>26</v>
      </c>
      <c r="C327">
        <f t="shared" si="7"/>
        <v>9</v>
      </c>
      <c r="D327" t="str">
        <f>A327&amp;-B327&amp;-C327</f>
        <v>TX-26-9</v>
      </c>
      <c r="E327" t="s">
        <v>249</v>
      </c>
      <c r="F327" t="s">
        <v>371</v>
      </c>
      <c r="G327" t="s">
        <v>222</v>
      </c>
      <c r="H327"/>
      <c r="I327" t="s">
        <v>87</v>
      </c>
      <c r="J327">
        <v>80111101</v>
      </c>
      <c r="K327">
        <v>52031103</v>
      </c>
      <c r="P327" t="s">
        <v>87</v>
      </c>
    </row>
    <row r="328" spans="1:16" x14ac:dyDescent="0.35">
      <c r="A328" t="str">
        <f>_xlfn.XLOOKUP(I328,Sheet3!A:A,Sheet3!B:B)</f>
        <v>TX</v>
      </c>
      <c r="B328">
        <v>26</v>
      </c>
      <c r="C328">
        <f t="shared" si="7"/>
        <v>10</v>
      </c>
      <c r="D328" t="str">
        <f>A328&amp;-B328&amp;-C328</f>
        <v>TX-26-10</v>
      </c>
      <c r="E328" t="s">
        <v>249</v>
      </c>
      <c r="F328" t="s">
        <v>371</v>
      </c>
      <c r="G328" t="s">
        <v>221</v>
      </c>
      <c r="H328"/>
      <c r="I328" t="s">
        <v>87</v>
      </c>
      <c r="J328">
        <v>81111101</v>
      </c>
      <c r="K328">
        <v>52031103</v>
      </c>
      <c r="P328" t="s">
        <v>87</v>
      </c>
    </row>
    <row r="329" spans="1:16" x14ac:dyDescent="0.35">
      <c r="A329" t="str">
        <f>_xlfn.XLOOKUP(I329,Sheet3!A:A,Sheet3!B:B)</f>
        <v>TX</v>
      </c>
      <c r="B329">
        <v>26</v>
      </c>
      <c r="C329">
        <f t="shared" si="7"/>
        <v>11</v>
      </c>
      <c r="D329" t="str">
        <f>A329&amp;-B329&amp;-C329</f>
        <v>TX-26-11</v>
      </c>
      <c r="E329" t="s">
        <v>249</v>
      </c>
      <c r="F329" t="s">
        <v>371</v>
      </c>
      <c r="G329" t="s">
        <v>223</v>
      </c>
      <c r="H329"/>
      <c r="I329" t="s">
        <v>87</v>
      </c>
      <c r="J329">
        <v>90111101</v>
      </c>
      <c r="K329">
        <v>61031101</v>
      </c>
      <c r="P329" t="s">
        <v>87</v>
      </c>
    </row>
    <row r="330" spans="1:16" x14ac:dyDescent="0.35">
      <c r="A330" t="str">
        <f>_xlfn.XLOOKUP(I330,Sheet3!A:A,Sheet3!B:B)</f>
        <v>TX</v>
      </c>
      <c r="B330">
        <v>26</v>
      </c>
      <c r="C330">
        <f t="shared" si="7"/>
        <v>12</v>
      </c>
      <c r="D330" t="str">
        <f>A330&amp;-B330&amp;-C330</f>
        <v>TX-26-12</v>
      </c>
      <c r="E330" t="s">
        <v>249</v>
      </c>
      <c r="F330" t="s">
        <v>377</v>
      </c>
      <c r="G330" t="s">
        <v>223</v>
      </c>
      <c r="H330"/>
      <c r="I330" t="s">
        <v>87</v>
      </c>
      <c r="J330">
        <v>90111101</v>
      </c>
      <c r="K330">
        <v>52031101</v>
      </c>
      <c r="P330" t="s">
        <v>87</v>
      </c>
    </row>
    <row r="331" spans="1:16" x14ac:dyDescent="0.35">
      <c r="A331" t="str">
        <f>_xlfn.XLOOKUP(I331,Sheet3!A:A,Sheet3!B:B)</f>
        <v>TX</v>
      </c>
      <c r="B331">
        <v>26</v>
      </c>
      <c r="C331">
        <f t="shared" si="7"/>
        <v>13</v>
      </c>
      <c r="D331" t="str">
        <f>A331&amp;-B331&amp;-C331</f>
        <v>TX-26-13</v>
      </c>
      <c r="E331" t="s">
        <v>249</v>
      </c>
      <c r="F331" t="s">
        <v>379</v>
      </c>
      <c r="G331" t="s">
        <v>221</v>
      </c>
      <c r="H331"/>
      <c r="I331" t="s">
        <v>87</v>
      </c>
      <c r="J331">
        <v>81111101</v>
      </c>
      <c r="K331">
        <v>52031101</v>
      </c>
      <c r="P331" t="s">
        <v>87</v>
      </c>
    </row>
    <row r="332" spans="1:16" x14ac:dyDescent="0.35">
      <c r="A332" t="str">
        <f>_xlfn.XLOOKUP(I332,Sheet3!A:A,Sheet3!B:B)</f>
        <v>TX</v>
      </c>
      <c r="B332">
        <v>26</v>
      </c>
      <c r="C332">
        <f t="shared" si="7"/>
        <v>14</v>
      </c>
      <c r="D332" t="str">
        <f>A332&amp;-B332&amp;-C332</f>
        <v>TX-26-14</v>
      </c>
      <c r="E332" t="s">
        <v>249</v>
      </c>
      <c r="F332" t="s">
        <v>379</v>
      </c>
      <c r="G332" t="s">
        <v>223</v>
      </c>
      <c r="H332"/>
      <c r="I332" t="s">
        <v>87</v>
      </c>
      <c r="J332">
        <v>90111101</v>
      </c>
      <c r="K332">
        <v>52031101</v>
      </c>
      <c r="P332" t="s">
        <v>87</v>
      </c>
    </row>
    <row r="333" spans="1:16" x14ac:dyDescent="0.35">
      <c r="A333" t="str">
        <f>_xlfn.XLOOKUP(I333,Sheet3!A:A,Sheet3!B:B)</f>
        <v>TX</v>
      </c>
      <c r="B333">
        <v>26</v>
      </c>
      <c r="C333">
        <f t="shared" si="7"/>
        <v>15</v>
      </c>
      <c r="D333" t="str">
        <f>A333&amp;-B333&amp;-C333</f>
        <v>TX-26-15</v>
      </c>
      <c r="E333" t="s">
        <v>249</v>
      </c>
      <c r="F333" t="s">
        <v>375</v>
      </c>
      <c r="G333" t="s">
        <v>223</v>
      </c>
      <c r="H333"/>
      <c r="I333" t="s">
        <v>87</v>
      </c>
      <c r="J333">
        <v>90111101</v>
      </c>
      <c r="K333">
        <v>52031101</v>
      </c>
      <c r="P333" t="s">
        <v>87</v>
      </c>
    </row>
    <row r="334" spans="1:16" x14ac:dyDescent="0.35">
      <c r="A334" t="str">
        <f>_xlfn.XLOOKUP(I334,Sheet3!A:A,Sheet3!B:B)</f>
        <v>TX</v>
      </c>
      <c r="B334">
        <v>26</v>
      </c>
      <c r="C334">
        <f t="shared" si="7"/>
        <v>16</v>
      </c>
      <c r="D334" t="str">
        <f>A334&amp;-B334&amp;-C334</f>
        <v>TX-26-16</v>
      </c>
      <c r="E334" t="s">
        <v>249</v>
      </c>
      <c r="F334" t="s">
        <v>373</v>
      </c>
      <c r="G334" t="s">
        <v>222</v>
      </c>
      <c r="H334"/>
      <c r="I334" t="s">
        <v>87</v>
      </c>
      <c r="J334">
        <v>80133102</v>
      </c>
      <c r="K334">
        <v>61959201</v>
      </c>
      <c r="P334" t="s">
        <v>87</v>
      </c>
    </row>
    <row r="335" spans="1:16" x14ac:dyDescent="0.35">
      <c r="A335" t="str">
        <f>_xlfn.XLOOKUP(I335,Sheet3!A:A,Sheet3!B:B)</f>
        <v>TX</v>
      </c>
      <c r="B335">
        <v>26</v>
      </c>
      <c r="C335">
        <f t="shared" si="7"/>
        <v>17</v>
      </c>
      <c r="D335" t="str">
        <f>A335&amp;-B335&amp;-C335</f>
        <v>TX-26-17</v>
      </c>
      <c r="E335" t="s">
        <v>249</v>
      </c>
      <c r="F335" t="s">
        <v>373</v>
      </c>
      <c r="G335" t="s">
        <v>221</v>
      </c>
      <c r="H335"/>
      <c r="I335" t="s">
        <v>87</v>
      </c>
      <c r="J335">
        <v>81133102</v>
      </c>
      <c r="K335">
        <v>61959201</v>
      </c>
      <c r="P335" t="s">
        <v>87</v>
      </c>
    </row>
    <row r="336" spans="1:16" x14ac:dyDescent="0.35">
      <c r="A336" t="str">
        <f>_xlfn.XLOOKUP(I336,Sheet3!A:A,Sheet3!B:B)</f>
        <v>TX</v>
      </c>
      <c r="B336">
        <v>26</v>
      </c>
      <c r="C336">
        <f t="shared" si="7"/>
        <v>18</v>
      </c>
      <c r="D336" t="str">
        <f>A336&amp;-B336&amp;-C336</f>
        <v>TX-26-18</v>
      </c>
      <c r="E336" t="s">
        <v>249</v>
      </c>
      <c r="F336" t="s">
        <v>373</v>
      </c>
      <c r="G336" t="s">
        <v>223</v>
      </c>
      <c r="H336"/>
      <c r="I336" t="s">
        <v>87</v>
      </c>
      <c r="J336">
        <v>90133102</v>
      </c>
      <c r="K336">
        <v>61959201</v>
      </c>
      <c r="P336" t="s">
        <v>87</v>
      </c>
    </row>
  </sheetData>
  <autoFilter ref="A2:P336" xr:uid="{0B1226CB-0107-4D8F-A599-9B58ED89F844}">
    <sortState xmlns:xlrd2="http://schemas.microsoft.com/office/spreadsheetml/2017/richdata2" ref="A3:P336">
      <sortCondition ref="I2:I336"/>
    </sortState>
  </autoFilter>
  <conditionalFormatting sqref="H196:H1048576 H2:H189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3"/>
  <sheetViews>
    <sheetView workbookViewId="0">
      <selection activeCell="A13" sqref="A13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356</v>
      </c>
      <c r="B2" t="s">
        <v>442</v>
      </c>
    </row>
    <row r="3" spans="1:2" ht="16" x14ac:dyDescent="0.35">
      <c r="A3" s="12" t="s">
        <v>355</v>
      </c>
      <c r="B3" t="s">
        <v>446</v>
      </c>
    </row>
    <row r="4" spans="1:2" ht="16" x14ac:dyDescent="0.35">
      <c r="A4" s="12" t="s">
        <v>357</v>
      </c>
      <c r="B4" t="s">
        <v>448</v>
      </c>
    </row>
    <row r="5" spans="1:2" ht="16" x14ac:dyDescent="0.35">
      <c r="A5" s="12" t="s">
        <v>85</v>
      </c>
      <c r="B5" t="s">
        <v>443</v>
      </c>
    </row>
    <row r="6" spans="1:2" ht="16" x14ac:dyDescent="0.35">
      <c r="A6" s="12" t="s">
        <v>77</v>
      </c>
      <c r="B6" t="s">
        <v>444</v>
      </c>
    </row>
    <row r="7" spans="1:2" ht="16" x14ac:dyDescent="0.35">
      <c r="A7" s="12" t="s">
        <v>327</v>
      </c>
      <c r="B7" t="s">
        <v>445</v>
      </c>
    </row>
    <row r="8" spans="1:2" ht="16" x14ac:dyDescent="0.35">
      <c r="A8" s="12" t="s">
        <v>292</v>
      </c>
      <c r="B8" t="s">
        <v>446</v>
      </c>
    </row>
    <row r="9" spans="1:2" ht="16" x14ac:dyDescent="0.35">
      <c r="A9" s="12" t="s">
        <v>87</v>
      </c>
      <c r="B9" t="s">
        <v>447</v>
      </c>
    </row>
    <row r="10" spans="1:2" ht="16" x14ac:dyDescent="0.35">
      <c r="A10" s="12" t="s">
        <v>449</v>
      </c>
      <c r="B10" t="s">
        <v>450</v>
      </c>
    </row>
    <row r="11" spans="1:2" ht="16" x14ac:dyDescent="0.35">
      <c r="A11" s="12" t="s">
        <v>166</v>
      </c>
      <c r="B11" t="s">
        <v>451</v>
      </c>
    </row>
    <row r="12" spans="1:2" ht="16" x14ac:dyDescent="0.35">
      <c r="A12" s="12" t="s">
        <v>302</v>
      </c>
      <c r="B12" t="s">
        <v>452</v>
      </c>
    </row>
    <row r="13" spans="1:2" x14ac:dyDescent="0.35">
      <c r="A13" t="s">
        <v>354</v>
      </c>
      <c r="B13" t="s">
        <v>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29</v>
      </c>
      <c r="B1" t="s">
        <v>35</v>
      </c>
    </row>
    <row r="2" spans="1:9" x14ac:dyDescent="0.35">
      <c r="A2" s="2" t="s">
        <v>27</v>
      </c>
      <c r="B2" s="2" t="s">
        <v>28</v>
      </c>
      <c r="C2" s="2" t="s">
        <v>37</v>
      </c>
      <c r="D2" s="2" t="s">
        <v>32</v>
      </c>
      <c r="E2" s="2" t="s">
        <v>30</v>
      </c>
      <c r="F2" s="2" t="s">
        <v>33</v>
      </c>
      <c r="G2" s="2" t="s">
        <v>34</v>
      </c>
      <c r="H2" s="2" t="s">
        <v>36</v>
      </c>
      <c r="I2" s="2" t="s">
        <v>31</v>
      </c>
    </row>
    <row r="3" spans="1:9" x14ac:dyDescent="0.35">
      <c r="A3">
        <v>52041499</v>
      </c>
      <c r="B3" t="s">
        <v>6</v>
      </c>
      <c r="C3" t="s">
        <v>38</v>
      </c>
    </row>
    <row r="4" spans="1:9" x14ac:dyDescent="0.35">
      <c r="A4">
        <v>52041499</v>
      </c>
      <c r="B4" t="s">
        <v>6</v>
      </c>
      <c r="C4" t="s">
        <v>38</v>
      </c>
    </row>
    <row r="5" spans="1:9" x14ac:dyDescent="0.35">
      <c r="A5">
        <v>52081103</v>
      </c>
      <c r="B5" t="s">
        <v>22</v>
      </c>
      <c r="C5" t="s">
        <v>39</v>
      </c>
    </row>
    <row r="6" spans="1:9" x14ac:dyDescent="0.35">
      <c r="A6">
        <v>61711101</v>
      </c>
      <c r="B6" t="s">
        <v>7</v>
      </c>
      <c r="C6" t="s">
        <v>40</v>
      </c>
    </row>
    <row r="7" spans="1:9" x14ac:dyDescent="0.35">
      <c r="A7">
        <v>61041101</v>
      </c>
      <c r="B7" t="s">
        <v>2</v>
      </c>
      <c r="C7" t="s">
        <v>41</v>
      </c>
    </row>
    <row r="8" spans="1:9" x14ac:dyDescent="0.35">
      <c r="A8">
        <v>52119101</v>
      </c>
      <c r="B8" t="s">
        <v>18</v>
      </c>
      <c r="C8" t="s">
        <v>42</v>
      </c>
    </row>
    <row r="9" spans="1:9" x14ac:dyDescent="0.35">
      <c r="A9">
        <v>61111201</v>
      </c>
      <c r="B9" t="s">
        <v>19</v>
      </c>
      <c r="C9" t="s">
        <v>43</v>
      </c>
    </row>
    <row r="10" spans="1:9" x14ac:dyDescent="0.35">
      <c r="A10">
        <v>52041405</v>
      </c>
      <c r="B10" t="s">
        <v>4</v>
      </c>
      <c r="C10" t="s">
        <v>38</v>
      </c>
    </row>
    <row r="11" spans="1:9" x14ac:dyDescent="0.35">
      <c r="A11">
        <v>52111102</v>
      </c>
      <c r="B11" t="s">
        <v>16</v>
      </c>
    </row>
    <row r="12" spans="1:9" x14ac:dyDescent="0.35">
      <c r="A12">
        <v>61081101</v>
      </c>
      <c r="B12" t="s">
        <v>23</v>
      </c>
    </row>
    <row r="13" spans="1:9" x14ac:dyDescent="0.35">
      <c r="A13">
        <v>52951101</v>
      </c>
      <c r="B13" t="s">
        <v>12</v>
      </c>
    </row>
    <row r="14" spans="1:9" x14ac:dyDescent="0.35">
      <c r="A14">
        <v>52111101</v>
      </c>
      <c r="B14" t="s">
        <v>17</v>
      </c>
    </row>
    <row r="15" spans="1:9" x14ac:dyDescent="0.35">
      <c r="A15">
        <v>52081101</v>
      </c>
      <c r="B15" t="s">
        <v>21</v>
      </c>
    </row>
    <row r="16" spans="1:9" x14ac:dyDescent="0.35">
      <c r="A16">
        <v>61071099</v>
      </c>
      <c r="B16" t="s">
        <v>9</v>
      </c>
    </row>
    <row r="17" spans="1:3" x14ac:dyDescent="0.35">
      <c r="A17">
        <v>61061104</v>
      </c>
      <c r="B17" t="s">
        <v>3</v>
      </c>
    </row>
    <row r="18" spans="1:3" x14ac:dyDescent="0.35">
      <c r="A18">
        <v>52061103</v>
      </c>
      <c r="B18" t="s">
        <v>13</v>
      </c>
    </row>
    <row r="19" spans="1:3" x14ac:dyDescent="0.35">
      <c r="A19">
        <v>52061101</v>
      </c>
      <c r="B19" t="s">
        <v>14</v>
      </c>
    </row>
    <row r="20" spans="1:3" x14ac:dyDescent="0.35">
      <c r="A20">
        <v>52061111</v>
      </c>
      <c r="B20" t="s">
        <v>15</v>
      </c>
    </row>
    <row r="21" spans="1:3" x14ac:dyDescent="0.35">
      <c r="A21">
        <v>52041401</v>
      </c>
      <c r="B21" t="s">
        <v>5</v>
      </c>
      <c r="C21" t="s">
        <v>38</v>
      </c>
    </row>
    <row r="22" spans="1:3" x14ac:dyDescent="0.35">
      <c r="A22">
        <v>52081101</v>
      </c>
      <c r="B22" t="s">
        <v>21</v>
      </c>
    </row>
    <row r="23" spans="1:3" x14ac:dyDescent="0.35">
      <c r="A23">
        <v>52081101</v>
      </c>
      <c r="B23" t="s">
        <v>21</v>
      </c>
    </row>
    <row r="24" spans="1:3" x14ac:dyDescent="0.35">
      <c r="A24">
        <v>61721101</v>
      </c>
      <c r="B24" t="s">
        <v>11</v>
      </c>
    </row>
    <row r="25" spans="1:3" x14ac:dyDescent="0.35">
      <c r="A25">
        <v>61061104</v>
      </c>
      <c r="B25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2026-08-30T11:19:11Z</dcterms:modified>
</cp:coreProperties>
</file>