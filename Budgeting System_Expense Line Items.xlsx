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umalonpvp\Downloads\Budgeting System\"/>
    </mc:Choice>
  </mc:AlternateContent>
  <xr:revisionPtr revIDLastSave="0" documentId="13_ncr:1_{633FC3B9-8FFB-4686-A172-88BCDE0E855A}" xr6:coauthVersionLast="47" xr6:coauthVersionMax="47" xr10:uidLastSave="{00000000-0000-0000-0000-000000000000}"/>
  <bookViews>
    <workbookView xWindow="-110" yWindow="-110" windowWidth="19420" windowHeight="10300" xr2:uid="{7D30BD04-AED0-48C4-A0F0-DC51EF4C24C2}"/>
  </bookViews>
  <sheets>
    <sheet name="Sheet1" sheetId="1" r:id="rId1"/>
    <sheet name="Sheet3" sheetId="3" r:id="rId2"/>
    <sheet name="Sheet2" sheetId="2" state="hidden" r:id="rId3"/>
  </sheets>
  <definedNames>
    <definedName name="_xlnm._FilterDatabase" localSheetId="0" hidden="1">Sheet1!$A$2:$P$336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320" i="1" l="1"/>
  <c r="C321" i="1" s="1"/>
  <c r="C318" i="1"/>
  <c r="C306" i="1"/>
  <c r="C307" i="1" s="1"/>
  <c r="C308" i="1" s="1"/>
  <c r="C294" i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77" i="1"/>
  <c r="C78" i="1" s="1"/>
  <c r="C43" i="1"/>
  <c r="C37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D320" i="1" s="1"/>
  <c r="A319" i="1"/>
  <c r="D319" i="1" s="1"/>
  <c r="A308" i="1"/>
  <c r="A307" i="1"/>
  <c r="A306" i="1"/>
  <c r="D306" i="1" s="1"/>
  <c r="A305" i="1"/>
  <c r="D305" i="1" s="1"/>
  <c r="A41" i="1"/>
  <c r="A40" i="1"/>
  <c r="A39" i="1"/>
  <c r="A38" i="1"/>
  <c r="A37" i="1"/>
  <c r="D37" i="1" s="1"/>
  <c r="A36" i="1"/>
  <c r="D36" i="1" s="1"/>
  <c r="A316" i="1"/>
  <c r="A315" i="1"/>
  <c r="A314" i="1"/>
  <c r="A313" i="1"/>
  <c r="A318" i="1"/>
  <c r="D318" i="1" s="1"/>
  <c r="A317" i="1"/>
  <c r="D317" i="1" s="1"/>
  <c r="A312" i="1"/>
  <c r="A311" i="1"/>
  <c r="A75" i="1"/>
  <c r="A74" i="1"/>
  <c r="A73" i="1"/>
  <c r="A72" i="1"/>
  <c r="A71" i="1"/>
  <c r="A70" i="1"/>
  <c r="A310" i="1"/>
  <c r="A309" i="1"/>
  <c r="D309" i="1" s="1"/>
  <c r="A14" i="1"/>
  <c r="A69" i="1"/>
  <c r="A68" i="1"/>
  <c r="A67" i="1"/>
  <c r="D67" i="1" s="1"/>
  <c r="A304" i="1"/>
  <c r="A303" i="1"/>
  <c r="A302" i="1"/>
  <c r="A301" i="1"/>
  <c r="A300" i="1"/>
  <c r="A299" i="1"/>
  <c r="A298" i="1"/>
  <c r="A297" i="1"/>
  <c r="A296" i="1"/>
  <c r="A295" i="1"/>
  <c r="A294" i="1"/>
  <c r="D294" i="1" s="1"/>
  <c r="A293" i="1"/>
  <c r="D293" i="1" s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D228" i="1" s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5" i="1"/>
  <c r="A144" i="1"/>
  <c r="A143" i="1"/>
  <c r="A142" i="1"/>
  <c r="A141" i="1"/>
  <c r="A140" i="1"/>
  <c r="A147" i="1"/>
  <c r="A146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D83" i="1" s="1"/>
  <c r="A82" i="1"/>
  <c r="A81" i="1"/>
  <c r="A80" i="1"/>
  <c r="A79" i="1"/>
  <c r="A78" i="1"/>
  <c r="A77" i="1"/>
  <c r="A76" i="1"/>
  <c r="D76" i="1" s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D42" i="1" s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3" i="1"/>
  <c r="A12" i="1"/>
  <c r="A11" i="1"/>
  <c r="A10" i="1"/>
  <c r="A9" i="1"/>
  <c r="A8" i="1"/>
  <c r="A7" i="1"/>
  <c r="A6" i="1"/>
  <c r="A5" i="1"/>
  <c r="A4" i="1"/>
  <c r="A336" i="1"/>
  <c r="A3" i="1"/>
  <c r="D3" i="1" s="1"/>
  <c r="D321" i="1" l="1"/>
  <c r="C322" i="1"/>
  <c r="D307" i="1"/>
  <c r="D295" i="1"/>
  <c r="D78" i="1"/>
  <c r="D77" i="1"/>
  <c r="D43" i="1"/>
  <c r="C323" i="1" l="1"/>
  <c r="D322" i="1"/>
  <c r="C324" i="1"/>
  <c r="D323" i="1"/>
  <c r="C325" i="1" l="1"/>
  <c r="D324" i="1"/>
  <c r="C326" i="1" l="1"/>
  <c r="D325" i="1"/>
  <c r="C327" i="1" l="1"/>
  <c r="D326" i="1"/>
  <c r="C328" i="1" l="1"/>
  <c r="D327" i="1"/>
  <c r="C329" i="1" l="1"/>
  <c r="D328" i="1"/>
  <c r="C330" i="1" l="1"/>
  <c r="D329" i="1"/>
  <c r="C331" i="1" l="1"/>
  <c r="D330" i="1"/>
  <c r="C332" i="1" l="1"/>
  <c r="D331" i="1"/>
  <c r="C333" i="1" l="1"/>
  <c r="D332" i="1"/>
  <c r="C334" i="1" l="1"/>
  <c r="D333" i="1"/>
  <c r="C335" i="1" l="1"/>
  <c r="D334" i="1"/>
  <c r="C336" i="1" l="1"/>
  <c r="D336" i="1" s="1"/>
  <c r="D335" i="1"/>
  <c r="C84" i="1" l="1"/>
  <c r="C85" i="1" s="1"/>
  <c r="C86" i="1" s="1"/>
  <c r="C87" i="1" s="1"/>
  <c r="C88" i="1" s="1"/>
  <c r="C89" i="1" s="1"/>
  <c r="C90" i="1" s="1"/>
  <c r="C91" i="1" s="1"/>
  <c r="C92" i="1" s="1"/>
  <c r="C93" i="1" s="1"/>
  <c r="C94" i="1" s="1"/>
  <c r="C95" i="1" s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C125" i="1" s="1"/>
  <c r="C126" i="1" s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C156" i="1" s="1"/>
  <c r="C157" i="1" s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C186" i="1" s="1"/>
  <c r="C187" i="1" s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C217" i="1" s="1"/>
  <c r="C218" i="1" s="1"/>
  <c r="C219" i="1" s="1"/>
  <c r="C220" i="1" s="1"/>
  <c r="C221" i="1" s="1"/>
  <c r="C222" i="1" s="1"/>
  <c r="C223" i="1" s="1"/>
  <c r="C224" i="1" s="1"/>
  <c r="C225" i="1" s="1"/>
  <c r="C226" i="1" s="1"/>
  <c r="C227" i="1" s="1"/>
  <c r="D84" i="1" l="1"/>
  <c r="D296" i="1" l="1"/>
  <c r="D297" i="1" l="1"/>
  <c r="D298" i="1" l="1"/>
  <c r="D299" i="1" l="1"/>
  <c r="D300" i="1" l="1"/>
  <c r="C310" i="1" l="1"/>
  <c r="D310" i="1" s="1"/>
  <c r="C68" i="1"/>
  <c r="C79" i="1"/>
  <c r="D79" i="1" s="1"/>
  <c r="C69" i="1" l="1"/>
  <c r="D69" i="1" s="1"/>
  <c r="D68" i="1"/>
  <c r="D85" i="1"/>
  <c r="D86" i="1"/>
  <c r="C4" i="1" l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l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D14" i="1"/>
  <c r="D4" i="1"/>
  <c r="D5" i="1" l="1"/>
  <c r="D6" i="1" l="1"/>
  <c r="D7" i="1"/>
  <c r="D87" i="1" l="1"/>
  <c r="D88" i="1" l="1"/>
  <c r="D89" i="1" l="1"/>
  <c r="D90" i="1" l="1"/>
  <c r="C38" i="1" l="1"/>
  <c r="C39" i="1" l="1"/>
  <c r="D38" i="1"/>
  <c r="C40" i="1" l="1"/>
  <c r="D40" i="1" s="1"/>
  <c r="D39" i="1"/>
  <c r="C229" i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C247" i="1" s="1"/>
  <c r="C248" i="1" s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C278" i="1" s="1"/>
  <c r="C279" i="1" s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D229" i="1" l="1"/>
  <c r="D230" i="1" l="1"/>
  <c r="D231" i="1" l="1"/>
  <c r="D232" i="1" l="1"/>
  <c r="D233" i="1" l="1"/>
  <c r="D91" i="1" l="1"/>
  <c r="D8" i="1" l="1"/>
  <c r="D9" i="1" l="1"/>
  <c r="D11" i="1" l="1"/>
  <c r="D10" i="1" l="1"/>
  <c r="D301" i="1" l="1"/>
  <c r="D92" i="1"/>
  <c r="C311" i="1" l="1"/>
  <c r="D93" i="1"/>
  <c r="C312" i="1" l="1"/>
  <c r="D311" i="1"/>
  <c r="D312" i="1" l="1"/>
  <c r="D94" i="1" l="1"/>
  <c r="D95" i="1" l="1"/>
  <c r="C41" i="1" l="1"/>
  <c r="D41" i="1" l="1"/>
  <c r="D96" i="1" l="1"/>
  <c r="D13" i="1" l="1"/>
  <c r="D12" i="1" l="1"/>
  <c r="D97" i="1" l="1"/>
  <c r="C313" i="1" l="1"/>
  <c r="C314" i="1" l="1"/>
  <c r="D313" i="1"/>
  <c r="C315" i="1" l="1"/>
  <c r="D314" i="1"/>
  <c r="C316" i="1" l="1"/>
  <c r="D315" i="1"/>
  <c r="C80" i="1" l="1"/>
  <c r="D316" i="1"/>
  <c r="D80" i="1" l="1"/>
  <c r="C81" i="1"/>
  <c r="D98" i="1"/>
  <c r="C82" i="1" l="1"/>
  <c r="D82" i="1" s="1"/>
  <c r="D81" i="1"/>
  <c r="D99" i="1"/>
  <c r="D308" i="1" l="1"/>
  <c r="D234" i="1" l="1"/>
  <c r="D100" i="1"/>
  <c r="D235" i="1" l="1"/>
  <c r="C44" i="1"/>
  <c r="D236" i="1" l="1"/>
  <c r="D44" i="1"/>
  <c r="D101" i="1"/>
  <c r="D237" i="1" l="1"/>
  <c r="D102" i="1"/>
  <c r="D103" i="1"/>
  <c r="D238" i="1" l="1"/>
  <c r="D239" i="1" l="1"/>
  <c r="D241" i="1" l="1"/>
  <c r="D240" i="1"/>
  <c r="D242" i="1" l="1"/>
  <c r="D243" i="1" l="1"/>
  <c r="D244" i="1" l="1"/>
  <c r="D245" i="1" l="1"/>
  <c r="D246" i="1" l="1"/>
  <c r="D247" i="1" l="1"/>
  <c r="D248" i="1" l="1"/>
  <c r="D249" i="1" l="1"/>
  <c r="D250" i="1" l="1"/>
  <c r="D251" i="1" l="1"/>
  <c r="D252" i="1" l="1"/>
  <c r="D253" i="1" l="1"/>
  <c r="C70" i="1"/>
  <c r="D254" i="1" l="1"/>
  <c r="C71" i="1"/>
  <c r="D70" i="1"/>
  <c r="D255" i="1" l="1"/>
  <c r="C72" i="1"/>
  <c r="D71" i="1"/>
  <c r="D256" i="1" l="1"/>
  <c r="C73" i="1"/>
  <c r="D72" i="1"/>
  <c r="D257" i="1" l="1"/>
  <c r="D73" i="1"/>
  <c r="C74" i="1"/>
  <c r="D258" i="1" l="1"/>
  <c r="D74" i="1"/>
  <c r="C75" i="1"/>
  <c r="D75" i="1" s="1"/>
  <c r="D259" i="1" l="1"/>
  <c r="D260" i="1" l="1"/>
  <c r="D261" i="1" l="1"/>
  <c r="D262" i="1" l="1"/>
  <c r="D263" i="1" l="1"/>
  <c r="D264" i="1" l="1"/>
  <c r="D265" i="1" l="1"/>
  <c r="D266" i="1" l="1"/>
  <c r="D267" i="1" l="1"/>
  <c r="D268" i="1" l="1"/>
  <c r="D269" i="1" l="1"/>
  <c r="D270" i="1" l="1"/>
  <c r="D271" i="1" l="1"/>
  <c r="D272" i="1" l="1"/>
  <c r="D273" i="1" l="1"/>
  <c r="D274" i="1" l="1"/>
  <c r="D275" i="1" l="1"/>
  <c r="D276" i="1" l="1"/>
  <c r="D277" i="1" l="1"/>
  <c r="D278" i="1" l="1"/>
  <c r="D279" i="1" l="1"/>
  <c r="D280" i="1" l="1"/>
  <c r="D281" i="1" l="1"/>
  <c r="D282" i="1" l="1"/>
  <c r="D283" i="1" l="1"/>
  <c r="D284" i="1" l="1"/>
  <c r="D285" i="1" l="1"/>
  <c r="D286" i="1" l="1"/>
  <c r="D287" i="1" l="1"/>
  <c r="D288" i="1" l="1"/>
  <c r="D289" i="1" l="1"/>
  <c r="D290" i="1" l="1"/>
  <c r="D292" i="1" l="1"/>
  <c r="D291" i="1"/>
  <c r="D105" i="1"/>
  <c r="D104" i="1"/>
  <c r="C45" i="1"/>
  <c r="D15" i="1"/>
  <c r="C46" i="1" l="1"/>
  <c r="D45" i="1"/>
  <c r="D302" i="1"/>
  <c r="D303" i="1"/>
  <c r="D304" i="1"/>
  <c r="D106" i="1"/>
  <c r="D16" i="1"/>
  <c r="C47" i="1" l="1"/>
  <c r="D46" i="1"/>
  <c r="D107" i="1"/>
  <c r="D17" i="1"/>
  <c r="C48" i="1" l="1"/>
  <c r="D47" i="1"/>
  <c r="D108" i="1"/>
  <c r="D48" i="1"/>
  <c r="C49" i="1"/>
  <c r="D18" i="1"/>
  <c r="D109" i="1" l="1"/>
  <c r="D49" i="1"/>
  <c r="C50" i="1"/>
  <c r="D19" i="1"/>
  <c r="D110" i="1" l="1"/>
  <c r="D50" i="1"/>
  <c r="C51" i="1"/>
  <c r="D20" i="1"/>
  <c r="D111" i="1" l="1"/>
  <c r="C52" i="1"/>
  <c r="D51" i="1"/>
  <c r="D21" i="1"/>
  <c r="D112" i="1" l="1"/>
  <c r="C53" i="1"/>
  <c r="D52" i="1"/>
  <c r="D22" i="1"/>
  <c r="D113" i="1" l="1"/>
  <c r="C54" i="1"/>
  <c r="D53" i="1"/>
  <c r="D23" i="1"/>
  <c r="D114" i="1" l="1"/>
  <c r="D54" i="1"/>
  <c r="C55" i="1"/>
  <c r="D24" i="1"/>
  <c r="D115" i="1" l="1"/>
  <c r="C56" i="1"/>
  <c r="D55" i="1"/>
  <c r="D25" i="1"/>
  <c r="D116" i="1" l="1"/>
  <c r="D56" i="1"/>
  <c r="C57" i="1"/>
  <c r="D26" i="1"/>
  <c r="D117" i="1" l="1"/>
  <c r="C58" i="1"/>
  <c r="D57" i="1"/>
  <c r="D27" i="1"/>
  <c r="D118" i="1" l="1"/>
  <c r="C59" i="1"/>
  <c r="D58" i="1"/>
  <c r="D28" i="1"/>
  <c r="D119" i="1" l="1"/>
  <c r="C60" i="1"/>
  <c r="D59" i="1"/>
  <c r="D29" i="1"/>
  <c r="D120" i="1" l="1"/>
  <c r="D60" i="1"/>
  <c r="C61" i="1"/>
  <c r="D30" i="1"/>
  <c r="D121" i="1" l="1"/>
  <c r="D61" i="1"/>
  <c r="C62" i="1"/>
  <c r="D31" i="1"/>
  <c r="D122" i="1" l="1"/>
  <c r="C63" i="1"/>
  <c r="D62" i="1"/>
  <c r="D32" i="1"/>
  <c r="D123" i="1" l="1"/>
  <c r="D63" i="1"/>
  <c r="C64" i="1"/>
  <c r="D33" i="1"/>
  <c r="D124" i="1" l="1"/>
  <c r="D64" i="1"/>
  <c r="C65" i="1"/>
  <c r="D35" i="1"/>
  <c r="D34" i="1"/>
  <c r="D125" i="1" l="1"/>
  <c r="C66" i="1"/>
  <c r="D66" i="1" s="1"/>
  <c r="D65" i="1"/>
  <c r="D126" i="1" l="1"/>
  <c r="D127" i="1" l="1"/>
  <c r="D128" i="1" l="1"/>
  <c r="D129" i="1" l="1"/>
  <c r="D130" i="1" l="1"/>
  <c r="D131" i="1" l="1"/>
  <c r="D132" i="1" l="1"/>
  <c r="D133" i="1" l="1"/>
  <c r="D134" i="1" l="1"/>
  <c r="D135" i="1" l="1"/>
  <c r="D136" i="1" l="1"/>
  <c r="D137" i="1" l="1"/>
  <c r="D138" i="1" l="1"/>
  <c r="D139" i="1" l="1"/>
  <c r="D140" i="1" l="1"/>
  <c r="D141" i="1" l="1"/>
  <c r="D142" i="1" l="1"/>
  <c r="D143" i="1" l="1"/>
  <c r="D144" i="1" l="1"/>
  <c r="D145" i="1" l="1"/>
  <c r="D146" i="1" l="1"/>
  <c r="D147" i="1" l="1"/>
  <c r="D148" i="1" l="1"/>
  <c r="D149" i="1" l="1"/>
  <c r="D150" i="1" l="1"/>
  <c r="D151" i="1" l="1"/>
  <c r="D152" i="1" l="1"/>
  <c r="D153" i="1" l="1"/>
  <c r="D154" i="1" l="1"/>
  <c r="D155" i="1" l="1"/>
  <c r="D156" i="1" l="1"/>
  <c r="D157" i="1" l="1"/>
  <c r="D158" i="1" l="1"/>
  <c r="D159" i="1" l="1"/>
  <c r="D160" i="1" l="1"/>
  <c r="D161" i="1" l="1"/>
  <c r="D162" i="1" l="1"/>
  <c r="D163" i="1" l="1"/>
  <c r="D164" i="1" l="1"/>
  <c r="D165" i="1" l="1"/>
  <c r="D166" i="1" l="1"/>
  <c r="D167" i="1" l="1"/>
  <c r="D168" i="1" l="1"/>
  <c r="D169" i="1" l="1"/>
  <c r="D170" i="1" l="1"/>
  <c r="D171" i="1" l="1"/>
  <c r="D172" i="1" l="1"/>
  <c r="D173" i="1" l="1"/>
  <c r="D174" i="1" l="1"/>
  <c r="D175" i="1" l="1"/>
  <c r="D176" i="1" l="1"/>
  <c r="D177" i="1" l="1"/>
  <c r="D178" i="1" l="1"/>
  <c r="D179" i="1" l="1"/>
  <c r="D180" i="1" l="1"/>
  <c r="D181" i="1" l="1"/>
  <c r="D182" i="1" l="1"/>
  <c r="D183" i="1" l="1"/>
  <c r="D184" i="1" l="1"/>
  <c r="D185" i="1" l="1"/>
  <c r="D186" i="1" l="1"/>
  <c r="D187" i="1" l="1"/>
  <c r="D188" i="1" l="1"/>
  <c r="D189" i="1" l="1"/>
  <c r="D190" i="1" l="1"/>
  <c r="D191" i="1" l="1"/>
  <c r="D192" i="1" l="1"/>
  <c r="D193" i="1" l="1"/>
  <c r="D194" i="1" l="1"/>
  <c r="D195" i="1" l="1"/>
  <c r="D196" i="1" l="1"/>
  <c r="D197" i="1" l="1"/>
  <c r="D198" i="1" l="1"/>
  <c r="D199" i="1" l="1"/>
  <c r="D200" i="1" l="1"/>
  <c r="D201" i="1" l="1"/>
  <c r="D202" i="1" l="1"/>
  <c r="D203" i="1" l="1"/>
  <c r="D204" i="1" l="1"/>
  <c r="D205" i="1" l="1"/>
  <c r="D206" i="1" l="1"/>
  <c r="D207" i="1" l="1"/>
  <c r="D208" i="1" l="1"/>
  <c r="D209" i="1" l="1"/>
  <c r="D210" i="1" l="1"/>
  <c r="D211" i="1" l="1"/>
  <c r="D212" i="1" l="1"/>
  <c r="D213" i="1" l="1"/>
  <c r="D214" i="1" l="1"/>
  <c r="D215" i="1" l="1"/>
  <c r="D216" i="1" l="1"/>
  <c r="D217" i="1" l="1"/>
  <c r="D218" i="1" l="1"/>
  <c r="D219" i="1" l="1"/>
  <c r="D220" i="1" l="1"/>
  <c r="D221" i="1" l="1"/>
  <c r="D222" i="1" l="1"/>
  <c r="D223" i="1" l="1"/>
  <c r="D224" i="1" l="1"/>
  <c r="D225" i="1" l="1"/>
  <c r="D226" i="1" l="1"/>
  <c r="D227" i="1"/>
</calcChain>
</file>

<file path=xl/sharedStrings.xml><?xml version="1.0" encoding="utf-8"?>
<sst xmlns="http://schemas.openxmlformats.org/spreadsheetml/2006/main" count="1605" uniqueCount="457">
  <si>
    <t>Expense Line Item</t>
  </si>
  <si>
    <t>Centalized Department</t>
  </si>
  <si>
    <t>Electricity &amp; Water</t>
  </si>
  <si>
    <t>Repairs &amp; Maintenance -  Vehicle</t>
  </si>
  <si>
    <t>Janitorial</t>
  </si>
  <si>
    <t>Security</t>
  </si>
  <si>
    <t>Admin Staff - Driver/Messenger</t>
  </si>
  <si>
    <t>Dues and Fees - Others</t>
  </si>
  <si>
    <t>Vehicle Insurance</t>
  </si>
  <si>
    <t>Property Valuation</t>
  </si>
  <si>
    <t>Count</t>
  </si>
  <si>
    <t>Trunk Line/Direct Line/Land Line</t>
  </si>
  <si>
    <t>Mobile Phone</t>
  </si>
  <si>
    <t>Repairs &amp; Maintenance - Building</t>
  </si>
  <si>
    <t>Repairs &amp; Maintenance - Furniture, Fixture &amp; Equipment</t>
  </si>
  <si>
    <t>Repairs &amp; Maintenance - Supplies</t>
  </si>
  <si>
    <t>Low Value Assets</t>
  </si>
  <si>
    <t>Office Supplies - Toner</t>
  </si>
  <si>
    <t>Fuel &amp; Lubricants - Messenger</t>
  </si>
  <si>
    <t>Fuel &amp; Lubricants - Shell Fleet</t>
  </si>
  <si>
    <t>Toll Fees/RFID</t>
  </si>
  <si>
    <t>Parking Fees</t>
  </si>
  <si>
    <t>Drivers' Meal Allowance</t>
  </si>
  <si>
    <t>LTO Registration</t>
  </si>
  <si>
    <t>Additional Field (required)</t>
  </si>
  <si>
    <t>Cost Center (CC)</t>
  </si>
  <si>
    <t>GL Account (GL)</t>
  </si>
  <si>
    <t>GL number</t>
  </si>
  <si>
    <t>GL description</t>
  </si>
  <si>
    <t>Department</t>
  </si>
  <si>
    <t>YTD September 2026</t>
  </si>
  <si>
    <t>Full year 2027</t>
  </si>
  <si>
    <t>Full year 2025</t>
  </si>
  <si>
    <t>October-December 2026 Forecast</t>
  </si>
  <si>
    <t>Full Year 2026</t>
  </si>
  <si>
    <t>Admin</t>
  </si>
  <si>
    <t>Average Monthly 2026</t>
  </si>
  <si>
    <t>Rule</t>
  </si>
  <si>
    <t>Headcount, Rate per day, no of days</t>
  </si>
  <si>
    <t>Headcount, fixed rate</t>
  </si>
  <si>
    <t>Dropdown selection: membership (specify), others (specify)</t>
  </si>
  <si>
    <t>Based on PY average, consider increase in meralco etc</t>
  </si>
  <si>
    <t>No of trips per day, no of days, no of messenger, based on PY average, consider increase in fuel</t>
  </si>
  <si>
    <t>Based on PY average, consider increase in fuel</t>
  </si>
  <si>
    <t>SDWAN Device</t>
  </si>
  <si>
    <t>SDWAN Adaptiv</t>
  </si>
  <si>
    <t>SonicWall Firewall Security</t>
  </si>
  <si>
    <t>Kaseya</t>
  </si>
  <si>
    <t>UPS Maintenance</t>
  </si>
  <si>
    <t>HPE Server Maintenance</t>
  </si>
  <si>
    <t>Office 365 Material Security Email Threat Protection</t>
  </si>
  <si>
    <t>Office 365 Extra Storage</t>
  </si>
  <si>
    <t>Vmware</t>
  </si>
  <si>
    <t>Menlo Cloud Internet Security</t>
  </si>
  <si>
    <t>Web Application Firewall (WAF)</t>
  </si>
  <si>
    <t xml:space="preserve">Acronis Cloud DR </t>
  </si>
  <si>
    <t>Web Hosting</t>
  </si>
  <si>
    <t>Maintenance and Support Renewal of Network Advance Threat Protection (PaloAlto)</t>
  </si>
  <si>
    <t>Domain</t>
  </si>
  <si>
    <t>Power Apps</t>
  </si>
  <si>
    <t xml:space="preserve">Managed Security Operation Center (MSOC) </t>
  </si>
  <si>
    <t>Zoom</t>
  </si>
  <si>
    <t>Github</t>
  </si>
  <si>
    <t xml:space="preserve">2FA Aircuve </t>
  </si>
  <si>
    <t>Meraki Cloud</t>
  </si>
  <si>
    <t>SAP Annual Maintenance</t>
  </si>
  <si>
    <t>Adobe Acrobat Pro</t>
  </si>
  <si>
    <t>Adobe Photoshop</t>
  </si>
  <si>
    <t>Autodesk Autocad</t>
  </si>
  <si>
    <t>Bluebeam Revu</t>
  </si>
  <si>
    <t>Sketchup</t>
  </si>
  <si>
    <t>Microsoft Planner and Project Plan</t>
  </si>
  <si>
    <t>Adobe Creative Cloud Pro</t>
  </si>
  <si>
    <t>Google Workspace</t>
  </si>
  <si>
    <t>Fire Suppression System</t>
  </si>
  <si>
    <t>Power BI</t>
  </si>
  <si>
    <t>VRAY</t>
  </si>
  <si>
    <t>IS &amp; IT</t>
  </si>
  <si>
    <t>Pre-Employment Medical Exams</t>
  </si>
  <si>
    <t>Monthly Merienda</t>
  </si>
  <si>
    <t>Polo Shirts</t>
  </si>
  <si>
    <t>Clinic Supplies</t>
  </si>
  <si>
    <t>Bereavement Assistance</t>
  </si>
  <si>
    <t>Paper Towels</t>
  </si>
  <si>
    <t>Birthday Bash</t>
  </si>
  <si>
    <t>Human Resources</t>
  </si>
  <si>
    <t>RSG</t>
  </si>
  <si>
    <t>Tax</t>
  </si>
  <si>
    <t>TSG</t>
  </si>
  <si>
    <t>Fuel &amp; Lubricants - Fleet</t>
  </si>
  <si>
    <t>Property Appraisal</t>
  </si>
  <si>
    <t>Security Services</t>
  </si>
  <si>
    <t>Sample charges</t>
  </si>
  <si>
    <t>AI Subscriptions</t>
  </si>
  <si>
    <t>Family Day</t>
  </si>
  <si>
    <t>Townhall Meeting</t>
  </si>
  <si>
    <t>Anniversary Breakfast</t>
  </si>
  <si>
    <t>Ocular (Team Building)</t>
  </si>
  <si>
    <t>Teambuilding/ Summer Outing</t>
  </si>
  <si>
    <t>Christmas Party</t>
  </si>
  <si>
    <t>Christmas Party GC</t>
  </si>
  <si>
    <t xml:space="preserve">Chinese New Year </t>
  </si>
  <si>
    <t xml:space="preserve">Valentine's Day </t>
  </si>
  <si>
    <t>Women's Month</t>
  </si>
  <si>
    <t>Flores de Mayo</t>
  </si>
  <si>
    <t>Mother's Day</t>
  </si>
  <si>
    <t xml:space="preserve">Father's Day </t>
  </si>
  <si>
    <t>Blue Friday</t>
  </si>
  <si>
    <t>Filipino Month</t>
  </si>
  <si>
    <t>Oktoberfest</t>
  </si>
  <si>
    <t>Pink Friday</t>
  </si>
  <si>
    <t>Mini Sportsfest</t>
  </si>
  <si>
    <t>Flowers and Fruits (Hospitalization)</t>
  </si>
  <si>
    <t>Bathroom Tissue Roll</t>
  </si>
  <si>
    <t>Special Interests Clubs</t>
  </si>
  <si>
    <t xml:space="preserve">Alcohol </t>
  </si>
  <si>
    <t>Manual Receipts</t>
  </si>
  <si>
    <t>Senior Leaders Planning</t>
  </si>
  <si>
    <t>Service Awardees</t>
  </si>
  <si>
    <t>Flu vaccine</t>
  </si>
  <si>
    <t>HR Hour</t>
  </si>
  <si>
    <t>Karaoke Night</t>
  </si>
  <si>
    <t>Calamity Assistance</t>
  </si>
  <si>
    <t>Ortigas Run</t>
  </si>
  <si>
    <t>OJT Allowances</t>
  </si>
  <si>
    <t>Leave Encashment - Separated Employees</t>
  </si>
  <si>
    <t>OT Pay</t>
  </si>
  <si>
    <t>OT Meal Reimbursement</t>
  </si>
  <si>
    <t>OBT Meal</t>
  </si>
  <si>
    <t>OBT Gas</t>
  </si>
  <si>
    <t>Leave Encashment - Excess of 90 days</t>
  </si>
  <si>
    <t>Recruitment</t>
  </si>
  <si>
    <t>Trainings &amp; Seminars</t>
  </si>
  <si>
    <t>FBT</t>
  </si>
  <si>
    <t>Gas Allowance</t>
  </si>
  <si>
    <t>Employee Referral Incentive</t>
  </si>
  <si>
    <t>Recruitment Video</t>
  </si>
  <si>
    <t>Online Psychological Exams</t>
  </si>
  <si>
    <t>Job Fair</t>
  </si>
  <si>
    <t>Recruitment Collaterals</t>
  </si>
  <si>
    <t>Recruitment Fees (Special Hiring)</t>
  </si>
  <si>
    <t>Functional/ Technical Skills</t>
  </si>
  <si>
    <t>Behavioral/ Soft Skills</t>
  </si>
  <si>
    <t>Safety Training</t>
  </si>
  <si>
    <t>Project Management</t>
  </si>
  <si>
    <t>Training Cookies &amp; Prizes</t>
  </si>
  <si>
    <t>Medical Allowance</t>
  </si>
  <si>
    <t>Uniform Allowance</t>
  </si>
  <si>
    <t>Accident Insurance</t>
  </si>
  <si>
    <t>Life Insurance</t>
  </si>
  <si>
    <t>Medical Exam / Executive Check-up (incl. dependents)</t>
  </si>
  <si>
    <t>HMO (incl. dependents)</t>
  </si>
  <si>
    <t>Rice Subsidy</t>
  </si>
  <si>
    <t>Company Physician</t>
  </si>
  <si>
    <t>Company Physician (health talk)</t>
  </si>
  <si>
    <t>IIA - Institute of Internal Auditors</t>
  </si>
  <si>
    <t>PICPA - The Philippine Institute of Certified Public Accountants</t>
  </si>
  <si>
    <t>PRC - Professional Regulation Commission</t>
  </si>
  <si>
    <t>IBP - Integrated Bar of the Philippines</t>
  </si>
  <si>
    <t>UAP - United Architects of the Philippines</t>
  </si>
  <si>
    <t>Nitro Pro</t>
  </si>
  <si>
    <t>HR Reference Materials</t>
  </si>
  <si>
    <t>Sun Life - MDIA</t>
  </si>
  <si>
    <t>HRIS Maintenance</t>
  </si>
  <si>
    <t>PSPI - Managers' Payroll</t>
  </si>
  <si>
    <t>Consultants - Service Fee</t>
  </si>
  <si>
    <t>Corporate Marketing</t>
  </si>
  <si>
    <t>Description</t>
  </si>
  <si>
    <t>Mobile authenticator (Aircuve Mobile)</t>
  </si>
  <si>
    <t>Cloud disaster recovery</t>
  </si>
  <si>
    <t>PDF software</t>
  </si>
  <si>
    <t>Complete suite of 20+ Adobe creative apps powered by built-in generative AI</t>
  </si>
  <si>
    <t>Software for editing images, retouching photos, and creating digital art</t>
  </si>
  <si>
    <t>Aruba Switches</t>
  </si>
  <si>
    <t>Connect computers, servers, access points, and other wired devices together within a local network</t>
  </si>
  <si>
    <t>Drafting software used to create precise digital 2D blueprints and 3D design models</t>
  </si>
  <si>
    <t>AWS cloud hosted server</t>
  </si>
  <si>
    <t>Virtual server</t>
  </si>
  <si>
    <t>PDF editor built for construction and engineering teams to mark up blueprints, estimate materials, and collaborate on project plans</t>
  </si>
  <si>
    <t>Cloud-native cybersecurity solution designed to protect enterprise "endpoints"—such as laptops, desktops, servers, mobile devices, and cloud workloads—from digital threats</t>
  </si>
  <si>
    <t>Datrium Storage</t>
  </si>
  <si>
    <t>Enterprise data storage system</t>
  </si>
  <si>
    <t>Website address subscription to keep the rights to use company's website</t>
  </si>
  <si>
    <t>Automated safety system designed to detect and extinguish fires without human intervention</t>
  </si>
  <si>
    <t>Online platform where developers store their code, track changes, and collaborate on software projects securely</t>
  </si>
  <si>
    <t>Provides businesses with professional custom email, secure file storage, and real-time collaborative office apps</t>
  </si>
  <si>
    <t>Combination of hardware repairs, security updates, and routine checkups designed to keep HPE enterprise servers secure and running 24/7</t>
  </si>
  <si>
    <t>Centralized, cloud-based Remote Monitoring and Management (RMM) software platform</t>
  </si>
  <si>
    <t>Real-time, AI-driven security subscription that inspects network traffic to instantly block advanced, hidden cyber threats and malware before they infect a network</t>
  </si>
  <si>
    <t>24/7 cybersecurity service where a team of external experts monitors network around the clock to instantly detect and shut down cyberattacks</t>
  </si>
  <si>
    <t>Enterprise web security platform that protects users from internet threats by using a technology called Remote Browser Isolation (RBI)</t>
  </si>
  <si>
    <t>Web-based control center that allows IT teams to monitor, configure, and secure all their network hardware across multiple locations from a single internet dashboard</t>
  </si>
  <si>
    <t>Visual task board for tracking everyday teamwork and advanced, high-power scheduling system for managing complex timelines, budgets, and overallocated resources</t>
  </si>
  <si>
    <t>Access to Microsoft Word, Excel, PowerPoint, and Teams, alongside 1 TB of secure cloud storage</t>
  </si>
  <si>
    <t>Additional cloud space</t>
  </si>
  <si>
    <t>Cybersecurity platform integrated into Office 365 cloud environment to block advanced email attacks and secure sensitive data</t>
  </si>
  <si>
    <t>Low-code Microsoft platform that lets businesses quickly build custom mobile and web applications using drag-and-drop tools and Excel-style formulas to automate internal processes</t>
  </si>
  <si>
    <t>Cloud-based business intelligence and data visualization platform</t>
  </si>
  <si>
    <t>Cloud-managed, plug-and-play SD-WAN service designed to blend multiple internet links together, guaranteeing zero network downtime and automated security for distributed business branches</t>
  </si>
  <si>
    <t>Network router that blends multiple internet connections together, automatically routing traffic along the fastest path and preventing internet downtime</t>
  </si>
  <si>
    <t>3D modeling and design computer program used to create three-dimensional drawings of buildings, landscapes, furniture, and mechanical parts</t>
  </si>
  <si>
    <t>Network security platform that uses advanced hardware appliances to deeply inspect data traffic, sandbox suspicious files in the cloud, and block cyberattacks before they can enter a corporate network</t>
  </si>
  <si>
    <t>Routine operational testing, cleaning, and battery diagnostics performed on an emergency backup power system</t>
  </si>
  <si>
    <t>Centralized management console that connects multiple physical host servers together into a single dashboard, allowing IT teams to automate, monitor, and live-migrate thousands of virtual machines from one place.</t>
  </si>
  <si>
    <t>Software license that unlocks a premium, industry-standard rendering engine across multiple 3D platforms, transforming flat digital geometry into hyper-realistic images with advanced lighting and physics-based materials</t>
  </si>
  <si>
    <t>Specialized security system designed to protect web applications and websites from malicious internet traffic</t>
  </si>
  <si>
    <t>Online service that allocates space on a physical server to store a website's files, images, code, and databases so that it can be accessed by anyone on the internet</t>
  </si>
  <si>
    <t>Chatgpt, Copilot, Pollo, etc.</t>
  </si>
  <si>
    <t>Systems &amp; Applications - Hardware Maintenance</t>
  </si>
  <si>
    <t>Systems &amp; Applications - Storage</t>
  </si>
  <si>
    <t>Systems &amp; Applications - Security</t>
  </si>
  <si>
    <t>Systems &amp; Applications - Internet</t>
  </si>
  <si>
    <t>Systems &amp; Applications - Network</t>
  </si>
  <si>
    <t>Systems &amp; Applications - Software</t>
  </si>
  <si>
    <t>Systems &amp; Applications - AI</t>
  </si>
  <si>
    <t>Systems &amp; Applications - Server</t>
  </si>
  <si>
    <t>Expense Category</t>
  </si>
  <si>
    <t>Company Events</t>
  </si>
  <si>
    <t>Supplies</t>
  </si>
  <si>
    <t>Fringe Benefits Tax (FBT)</t>
  </si>
  <si>
    <t>Company</t>
  </si>
  <si>
    <t>OCC</t>
  </si>
  <si>
    <t>OCLP</t>
  </si>
  <si>
    <t>OLC</t>
  </si>
  <si>
    <t>Pacific Cross Insurance Policy - MDIA</t>
  </si>
  <si>
    <t>OLCP</t>
  </si>
  <si>
    <t>Dropdown list</t>
  </si>
  <si>
    <t>Admin Staff</t>
  </si>
  <si>
    <t>Messenger</t>
  </si>
  <si>
    <t>Operator</t>
  </si>
  <si>
    <t>Cenro</t>
  </si>
  <si>
    <t>Fuel &amp; Lubricants</t>
  </si>
  <si>
    <t>Kitchen Equipment</t>
  </si>
  <si>
    <t>Office Equipment</t>
  </si>
  <si>
    <t>Vehicle</t>
  </si>
  <si>
    <t>Building</t>
  </si>
  <si>
    <t>Media Monitoring Services</t>
  </si>
  <si>
    <t>Social Listening Services</t>
  </si>
  <si>
    <t>PR Retainer Fee</t>
  </si>
  <si>
    <t>Meta</t>
  </si>
  <si>
    <t>Canva</t>
  </si>
  <si>
    <t>95th Campaign</t>
  </si>
  <si>
    <t>AI Pollo</t>
  </si>
  <si>
    <t>Capcut</t>
  </si>
  <si>
    <t>Townhall</t>
  </si>
  <si>
    <t>Christmas Décor</t>
  </si>
  <si>
    <t>Communications Branding</t>
  </si>
  <si>
    <t>Marketing Subscriptions</t>
  </si>
  <si>
    <t>Marketing Events</t>
  </si>
  <si>
    <t>Taxes &amp; Licenses</t>
  </si>
  <si>
    <t>Automatic</t>
  </si>
  <si>
    <t>Specify</t>
  </si>
  <si>
    <t>e.g., plates, air fryer</t>
  </si>
  <si>
    <t>e.g., air purifier</t>
  </si>
  <si>
    <t>Headcount, Rate per Month (w/ OT)</t>
  </si>
  <si>
    <t>Headcount x Rate per Month (w/ OT)</t>
  </si>
  <si>
    <t>Headcount x Meal Allowance Rate x 20 days per month</t>
  </si>
  <si>
    <t>No. of Vehicle, Registration Fee</t>
  </si>
  <si>
    <t>No. of Vehicle x Registration Fee</t>
  </si>
  <si>
    <t>Spend Grid Computation</t>
  </si>
  <si>
    <t>Spend Grid Frequency</t>
  </si>
  <si>
    <t>Monthly</t>
  </si>
  <si>
    <t>July</t>
  </si>
  <si>
    <t>Headcount, Meal Allowance Rate</t>
  </si>
  <si>
    <t>Transportation</t>
  </si>
  <si>
    <t>Others</t>
  </si>
  <si>
    <t>Dues and Fees</t>
  </si>
  <si>
    <t>Manpower</t>
  </si>
  <si>
    <t>Contracted Services</t>
  </si>
  <si>
    <t>Professional Organization Dues/ License Renewal</t>
  </si>
  <si>
    <t>Employee Welfare/Benefit</t>
  </si>
  <si>
    <t>Toner/Ink</t>
  </si>
  <si>
    <t>Furniture, Fixture &amp; Equipment</t>
  </si>
  <si>
    <t>PARI</t>
  </si>
  <si>
    <t>PTS</t>
  </si>
  <si>
    <t>Insurance</t>
  </si>
  <si>
    <t>Bond</t>
  </si>
  <si>
    <t>DOL</t>
  </si>
  <si>
    <t>Phone - JHJ</t>
  </si>
  <si>
    <t>Phone - MDIA</t>
  </si>
  <si>
    <t>Postal</t>
  </si>
  <si>
    <t>BOD Meeting Per Diem</t>
  </si>
  <si>
    <t>PMAP - People Management Association of the Philippines</t>
  </si>
  <si>
    <t>ECOP - Employers Confederation of the Philippines, Inc.</t>
  </si>
  <si>
    <t>FINEX - Financial Executives Institute of the Philippines</t>
  </si>
  <si>
    <t>Security and Exchange Commissions</t>
  </si>
  <si>
    <t>CD Technologies Asia Inc.</t>
  </si>
  <si>
    <t>ICD - Institute of Corporate Directors</t>
  </si>
  <si>
    <t>MBC - Makati Business Club</t>
  </si>
  <si>
    <t>Bureau of Customs Certificate Renewals</t>
  </si>
  <si>
    <t>Meetings</t>
  </si>
  <si>
    <t>Representation</t>
  </si>
  <si>
    <t>Office of the CFO</t>
  </si>
  <si>
    <t>Internet</t>
  </si>
  <si>
    <t>Fiber Internet - HQ</t>
  </si>
  <si>
    <t>Innove - HQ</t>
  </si>
  <si>
    <t>Innove - SC1</t>
  </si>
  <si>
    <t>Fiber Internet - CV</t>
  </si>
  <si>
    <t>Fiber Internet - Mckinley</t>
  </si>
  <si>
    <t>Fiber Internet - ES</t>
  </si>
  <si>
    <t>Repairs &amp; Maintenance - HQ</t>
  </si>
  <si>
    <t>Repairs &amp; Maintenance - Non HQ</t>
  </si>
  <si>
    <t>OMD Operations</t>
  </si>
  <si>
    <t>CV Village</t>
  </si>
  <si>
    <t>GH Redev Plan</t>
  </si>
  <si>
    <t>OS2</t>
  </si>
  <si>
    <t>GH Resi Block</t>
  </si>
  <si>
    <t>OE Redev Plan</t>
  </si>
  <si>
    <t>Research &amp; Development</t>
  </si>
  <si>
    <t>ES Expansion</t>
  </si>
  <si>
    <t>Office Supplies - HQ</t>
  </si>
  <si>
    <t>Office Supplies - Non HQ</t>
  </si>
  <si>
    <t>Low Value Assets - HQ</t>
  </si>
  <si>
    <t>Low Value Assets - Non HQ</t>
  </si>
  <si>
    <t>HR Supplies</t>
  </si>
  <si>
    <t>Valle Verde</t>
  </si>
  <si>
    <t>OPE</t>
  </si>
  <si>
    <t>Consumables</t>
  </si>
  <si>
    <t>Membership Dues</t>
  </si>
  <si>
    <t>Board of Directors (BOD)</t>
  </si>
  <si>
    <t>BOD Meeting Retainer</t>
  </si>
  <si>
    <t>Actuarial Valuation - Interim</t>
  </si>
  <si>
    <t>Actuarial Valuation - December</t>
  </si>
  <si>
    <t>Salary Survey Report</t>
  </si>
  <si>
    <t>OFI Outsource - BDO CMC</t>
  </si>
  <si>
    <t>Headcount</t>
  </si>
  <si>
    <t>Notarial Fees</t>
  </si>
  <si>
    <t>Legal</t>
  </si>
  <si>
    <t>FS Audit - PWC</t>
  </si>
  <si>
    <t>External Consultants</t>
  </si>
  <si>
    <t>FS Audit OPE - PWC</t>
  </si>
  <si>
    <t>Transfer Pricing Documentation (TPD) - SGV</t>
  </si>
  <si>
    <t>Health Insurance Service Fee - Lacson</t>
  </si>
  <si>
    <t>Visible only to (Department)</t>
  </si>
  <si>
    <t>Jobstreet Subscription</t>
  </si>
  <si>
    <t>LinkedIn Subscription</t>
  </si>
  <si>
    <t>Indeed Subscription</t>
  </si>
  <si>
    <t>Legal Fees</t>
  </si>
  <si>
    <t>Open Cases</t>
  </si>
  <si>
    <t>Retainer Fee - Angara Abello Concepcion Regala &amp; Cruz Law Offices</t>
  </si>
  <si>
    <t>Retainer Fee - Corpuz Ejercito Macasaet Rivera &amp; Corpuz Law Offices</t>
  </si>
  <si>
    <t>Retainer Fee - Poblador Bautista &amp; Reyes Law Offices</t>
  </si>
  <si>
    <t>Retainer Fee - Santiago &amp; Santiago Law Offices</t>
  </si>
  <si>
    <t>Retainer Fee - Sycip Salazar Hernandez &amp; Gatmaitan Law Offices</t>
  </si>
  <si>
    <t>Retirement</t>
  </si>
  <si>
    <t>Basic Pay</t>
  </si>
  <si>
    <t>Guaranteed Bonus</t>
  </si>
  <si>
    <t>Outsourced</t>
  </si>
  <si>
    <t>Project Employee</t>
  </si>
  <si>
    <t>Project Employee - OT Pay</t>
  </si>
  <si>
    <t>Project Employee - Guaranteed Bonus</t>
  </si>
  <si>
    <t>Interest</t>
  </si>
  <si>
    <t>Interest &amp; Penalty</t>
  </si>
  <si>
    <t>Penalty</t>
  </si>
  <si>
    <t>Procurement</t>
  </si>
  <si>
    <t>Corporate Finance</t>
  </si>
  <si>
    <t>Admin Services</t>
  </si>
  <si>
    <t>External Affairs</t>
  </si>
  <si>
    <t>Donations &amp; Contributions</t>
  </si>
  <si>
    <t>Community Contributions</t>
  </si>
  <si>
    <t>Valle Verde Country Club Annual Employees' Christmas Fund Contribution</t>
  </si>
  <si>
    <t>Representation Expense</t>
  </si>
  <si>
    <t>Manpower - Salary</t>
  </si>
  <si>
    <t>Government Contributions (ER) - SSS</t>
  </si>
  <si>
    <t>Government Contributions (ER) - Pag-Ibig</t>
  </si>
  <si>
    <t>Government Contributions (ER) - Philhealth</t>
  </si>
  <si>
    <t>SDWAN Cloud License</t>
  </si>
  <si>
    <t>Crowdstrike Endpoint Security</t>
  </si>
  <si>
    <t>Budget</t>
  </si>
  <si>
    <t>Internet Connection</t>
  </si>
  <si>
    <t>Office of the CFO, Corporate Finance</t>
  </si>
  <si>
    <t>DST</t>
  </si>
  <si>
    <t>Auto Tax</t>
  </si>
  <si>
    <t>Provision for Penalties</t>
  </si>
  <si>
    <t>DST for Equity Infusion</t>
  </si>
  <si>
    <t>Mayor's Permit</t>
  </si>
  <si>
    <t>Business Tax</t>
  </si>
  <si>
    <t>Engineer's Inspection Fee</t>
  </si>
  <si>
    <t>CTC</t>
  </si>
  <si>
    <t>Garbage Fee</t>
  </si>
  <si>
    <t>Business Permit</t>
  </si>
  <si>
    <t>Company Driver</t>
  </si>
  <si>
    <t>Pest Control</t>
  </si>
  <si>
    <t>Aircon Preventive Maintenance</t>
  </si>
  <si>
    <t>Cleaning Supplies</t>
  </si>
  <si>
    <t>No. of Vehicle, Allowed Limit of R&amp;M per Month</t>
  </si>
  <si>
    <t>No. of Vehicle x Allowed Limit of R&amp;M per Month</t>
  </si>
  <si>
    <t>No. of Vehicle, Allowed Limit of Insurance Anually</t>
  </si>
  <si>
    <t>No. of Vehicle x Allowed Limit of Insurance Anually</t>
  </si>
  <si>
    <t>No. of Referrals, Incentive per Employee per Referral</t>
  </si>
  <si>
    <t>No. of Referrals x Incentive per Employee per Referral</t>
  </si>
  <si>
    <t>Employee ID Plastic, Card and Lanyards</t>
  </si>
  <si>
    <t>No. of Items, Cost per Item</t>
  </si>
  <si>
    <t>No. of Items x Cost per Item</t>
  </si>
  <si>
    <t>No. of Kit, Cost per Kit, Specify</t>
  </si>
  <si>
    <t>No. of Kit x Cost per Kit</t>
  </si>
  <si>
    <t>January</t>
  </si>
  <si>
    <t>Welcome Back to Work Kit</t>
  </si>
  <si>
    <t>Blood Letting Activity</t>
  </si>
  <si>
    <t>Headcount, Cost per Head</t>
  </si>
  <si>
    <t>Headcount x Cost per Head</t>
  </si>
  <si>
    <t>Headcount, Cost per Shirt</t>
  </si>
  <si>
    <t>Headcount x Cost per Shirt</t>
  </si>
  <si>
    <t>No. of Gallons, Cost per Gallon</t>
  </si>
  <si>
    <t>No. of Gallons x Cost per Gallon</t>
  </si>
  <si>
    <t>Headcount, Cost of Vaccine per Head</t>
  </si>
  <si>
    <t>Headcount x Cost of Vaccine per Head</t>
  </si>
  <si>
    <t>Headcount, Allowed Limit per Head</t>
  </si>
  <si>
    <t>Headcount x Allowed Limit per Head</t>
  </si>
  <si>
    <t>November</t>
  </si>
  <si>
    <t>December</t>
  </si>
  <si>
    <t>User to select which month</t>
  </si>
  <si>
    <t>Drinking Water - HQ</t>
  </si>
  <si>
    <t>Soap</t>
  </si>
  <si>
    <t>Leadership</t>
  </si>
  <si>
    <t>Data Privacy Officer (DPO)</t>
  </si>
  <si>
    <t>Integrated Electrical Engineers of the Philippines (IIEE)</t>
  </si>
  <si>
    <t>Office 365 Account</t>
  </si>
  <si>
    <t>e.g., carpet cleaning</t>
  </si>
  <si>
    <t>Rank, Month Start, Employee Name, Department</t>
  </si>
  <si>
    <t>Vehicle Supplies</t>
  </si>
  <si>
    <t>Communication</t>
  </si>
  <si>
    <t>Systems &amp; Applications - Repairs</t>
  </si>
  <si>
    <t>Laptop</t>
  </si>
  <si>
    <t>Other IT Equipment</t>
  </si>
  <si>
    <t>Fuel Price per Liter, Average Daily Distance per Motor (km), Count of Motor</t>
  </si>
  <si>
    <t>((Average Daily Distance km / 40km/L) x Fuel Price per Liter) x Count of Motor x 20 days per month</t>
  </si>
  <si>
    <t>Adobe Sign</t>
  </si>
  <si>
    <t>MS Visio</t>
  </si>
  <si>
    <t>Any Desk</t>
  </si>
  <si>
    <t>Sharepoint Storage</t>
  </si>
  <si>
    <t>Autodesk Civil 3D</t>
  </si>
  <si>
    <t>Developer</t>
  </si>
  <si>
    <t>ABAP</t>
  </si>
  <si>
    <t>IT Consultant - SAP Migration</t>
  </si>
  <si>
    <t>IT Consultant - SAP Basis</t>
  </si>
  <si>
    <t>IT Consultant - April Roque</t>
  </si>
  <si>
    <t>IT Consultant - Others</t>
  </si>
  <si>
    <t>Leave Conversion Valuation</t>
  </si>
  <si>
    <t>Halloween</t>
  </si>
  <si>
    <t>Budget Code</t>
  </si>
  <si>
    <t>Internal Consultants</t>
  </si>
  <si>
    <t>AS</t>
  </si>
  <si>
    <t>HR</t>
  </si>
  <si>
    <t>IT</t>
  </si>
  <si>
    <t>LG</t>
  </si>
  <si>
    <t>CF</t>
  </si>
  <si>
    <t>TX</t>
  </si>
  <si>
    <t>EA</t>
  </si>
  <si>
    <t>Budget, Controls &amp; Analysis</t>
  </si>
  <si>
    <t>BCA</t>
  </si>
  <si>
    <t>CM</t>
  </si>
  <si>
    <t>OM</t>
  </si>
  <si>
    <t>PR</t>
  </si>
  <si>
    <t>CD</t>
  </si>
  <si>
    <t>YY</t>
  </si>
  <si>
    <t>Num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</si>
</sst>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1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sz val="10"/>
      <color rgb="FF00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9"/>
      <color theme="1"/>
      <name val="Arial"/>
      <family val="2"/>
    </font>
    <font>
      <u/>
      <sz val="10"/>
      <color theme="10"/>
      <name val="Arial"/>
      <family val="2"/>
    </font>
    <font>
      <sz val="11"/>
      <name val="Aptos Narrow"/>
      <family val="2"/>
      <scheme val="minor"/>
    </font>
    <font>
      <sz val="11"/>
      <color indexed="8"/>
      <name val="Calibri"/>
      <family val="2"/>
    </font>
    <font>
      <u/>
      <sz val="11"/>
      <color theme="10"/>
      <name val="Aptos Narrow"/>
      <family val="2"/>
      <scheme val="minor"/>
    </font>
    <font>
      <sz val="11"/>
      <color rgb="FF000000"/>
      <name val="Calibri"/>
      <family val="2"/>
    </font>
    <font>
      <i/>
      <sz val="11"/>
      <color theme="1"/>
      <name val="Aptos Narrow"/>
      <family val="2"/>
      <scheme val="minor"/>
    </font>
    <font>
      <sz val="12"/>
      <color theme="1"/>
      <name val="Aptos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56">
    <xf numFmtId="0" fontId="0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4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5" fillId="0" borderId="0"/>
    <xf numFmtId="0" fontId="3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7" fillId="0" borderId="0" applyNumberFormat="0" applyFill="0" applyBorder="0" applyAlignment="0" applyProtection="0"/>
    <xf numFmtId="0" fontId="6" fillId="0" borderId="0"/>
    <xf numFmtId="43" fontId="3" fillId="0" borderId="0" applyFont="0" applyFill="0" applyBorder="0" applyAlignment="0" applyProtection="0"/>
    <xf numFmtId="0" fontId="2" fillId="0" borderId="0"/>
    <xf numFmtId="0" fontId="9" fillId="0" borderId="0" applyFill="0" applyProtection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3" fillId="0" borderId="0"/>
    <xf numFmtId="0" fontId="6" fillId="0" borderId="0"/>
    <xf numFmtId="0" fontId="3" fillId="0" borderId="0"/>
    <xf numFmtId="43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10" fillId="0" borderId="0" applyNumberFormat="0" applyFill="0" applyBorder="0" applyAlignment="0" applyProtection="0"/>
    <xf numFmtId="9" fontId="2" fillId="0" borderId="0" applyFont="0" applyFill="0" applyBorder="0" applyAlignment="0" applyProtection="0"/>
    <xf numFmtId="0" fontId="10" fillId="0" borderId="0" applyNumberFormat="0" applyFill="0" applyBorder="0" applyAlignment="0" applyProtection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10" fillId="0" borderId="0" applyNumberFormat="0" applyFill="0" applyBorder="0" applyAlignment="0" applyProtection="0"/>
    <xf numFmtId="0" fontId="3" fillId="0" borderId="0"/>
    <xf numFmtId="43" fontId="2" fillId="0" borderId="0" applyFont="0" applyFill="0" applyBorder="0" applyAlignment="0" applyProtection="0"/>
    <xf numFmtId="0" fontId="11" fillId="0" borderId="0"/>
    <xf numFmtId="0" fontId="11" fillId="0" borderId="0"/>
    <xf numFmtId="43" fontId="3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11" fillId="0" borderId="0"/>
    <xf numFmtId="43" fontId="3" fillId="0" borderId="0" applyFont="0" applyFill="0" applyBorder="0" applyAlignment="0" applyProtection="0"/>
    <xf numFmtId="0" fontId="3" fillId="0" borderId="0"/>
    <xf numFmtId="0" fontId="2" fillId="0" borderId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</cellStyleXfs>
  <cellXfs count="13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 wrapText="1"/>
    </xf>
    <xf numFmtId="0" fontId="8" fillId="0" borderId="0" xfId="0" applyFont="1"/>
    <xf numFmtId="0" fontId="0" fillId="0" borderId="0" xfId="0" applyAlignment="1">
      <alignment wrapText="1"/>
    </xf>
    <xf numFmtId="0" fontId="12" fillId="0" borderId="0" xfId="0" applyFont="1"/>
    <xf numFmtId="0" fontId="12" fillId="0" borderId="0" xfId="0" applyFont="1" applyAlignment="1">
      <alignment wrapText="1"/>
    </xf>
    <xf numFmtId="0" fontId="0" fillId="0" borderId="0" xfId="0" applyAlignment="1">
      <alignment vertical="top"/>
    </xf>
    <xf numFmtId="0" fontId="0" fillId="2" borderId="0" xfId="0" applyFill="1"/>
    <xf numFmtId="1" fontId="0" fillId="0" borderId="0" xfId="0" quotePrefix="1" applyNumberFormat="1"/>
    <xf numFmtId="1" fontId="0" fillId="0" borderId="0" xfId="0" applyNumberFormat="1"/>
    <xf numFmtId="0" fontId="13" fillId="0" borderId="0" xfId="0" applyFont="1" applyAlignment="1">
      <alignment vertical="center"/>
    </xf>
  </cellXfs>
  <cellStyles count="56">
    <cellStyle name="Comma 2" xfId="3" xr:uid="{334DEA29-5BA8-45B2-B167-63A68609AECC}"/>
    <cellStyle name="Comma 2 2" xfId="5" xr:uid="{62C2F246-E30E-4A3B-B3DE-1BC960711CA5}"/>
    <cellStyle name="Comma 2 2 2" xfId="41" xr:uid="{A41B3CBD-2A87-4536-81D4-9479CAE12319}"/>
    <cellStyle name="Comma 2 3" xfId="21" xr:uid="{10B24324-B8CD-44AA-9C00-DCCF84D1ADC8}"/>
    <cellStyle name="Comma 2 3 2" xfId="45" xr:uid="{227245D9-4D20-452A-A47E-009CD0FF169D}"/>
    <cellStyle name="Comma 2 4" xfId="18" xr:uid="{A1DE2AC2-FFB1-442B-BA69-733A51164753}"/>
    <cellStyle name="Comma 2 4 2" xfId="44" xr:uid="{22ABCAAA-C74A-4E8C-92F8-B65B247A39B3}"/>
    <cellStyle name="Comma 2 5" xfId="23" xr:uid="{AE535D26-D6AB-48CD-A6F1-2F94C14C13ED}"/>
    <cellStyle name="Comma 2 5 2" xfId="46" xr:uid="{E673BB8C-3DFD-4542-9007-3EEF1E55DE89}"/>
    <cellStyle name="Comma 2 7" xfId="8" xr:uid="{1A7D7691-083A-4FF6-82C9-708050DBAAA6}"/>
    <cellStyle name="Comma 2 7 2" xfId="42" xr:uid="{5F268CED-0860-4A28-A069-52E0BDAC8181}"/>
    <cellStyle name="Comma 3" xfId="27" xr:uid="{FC742CF1-75BF-4536-AD22-730586A393E0}"/>
    <cellStyle name="Comma 3 2" xfId="47" xr:uid="{80432DFA-3968-4090-BFE9-4FCE1C43E523}"/>
    <cellStyle name="Comma 4" xfId="33" xr:uid="{9DDCC0BA-DCA4-4472-B54A-4F59B37C60F1}"/>
    <cellStyle name="Comma 4 2" xfId="48" xr:uid="{B2EFA181-F57D-4A9A-919D-1AE58D20CC3E}"/>
    <cellStyle name="Comma 5" xfId="14" xr:uid="{214CADBF-65C5-48A9-ABE0-4A75E8D60522}"/>
    <cellStyle name="Comma 5 2" xfId="43" xr:uid="{7391241F-5C56-483E-8426-FC54B8B7098B}"/>
    <cellStyle name="Comma 6" xfId="38" xr:uid="{468E3A64-2D25-4074-9825-0999420C8BF1}"/>
    <cellStyle name="Comma 6 2" xfId="49" xr:uid="{B9D953BE-33B5-4A36-AA17-F88A54420664}"/>
    <cellStyle name="Comma 7" xfId="51" xr:uid="{4BD16F5D-7EB0-40E9-808F-A781F66EB16A}"/>
    <cellStyle name="Comma 8" xfId="54" xr:uid="{7E6ADB4E-BC19-4B4A-96B5-5599C62FC5B9}"/>
    <cellStyle name="Comma 8 2" xfId="55" xr:uid="{B07759C7-2C4E-4312-BC7A-3CFCBAD64B63}"/>
    <cellStyle name="Hyperlink 2" xfId="16" xr:uid="{C59E11D6-6762-4FBC-831C-52551145294B}"/>
    <cellStyle name="Hyperlink 3" xfId="30" xr:uid="{49AEC718-69A6-4D3D-94FD-B8BD2E9A2158}"/>
    <cellStyle name="Hyperlink 4" xfId="36" xr:uid="{5B714736-8ED0-4C8D-8FFC-B22FAC82F08A}"/>
    <cellStyle name="Hyperlink 5" xfId="32" xr:uid="{B70B237B-8050-457C-ADFC-94CB417995FD}"/>
    <cellStyle name="Normal" xfId="0" builtinId="0"/>
    <cellStyle name="Normal 10" xfId="39" xr:uid="{6F90EDD9-CF8A-4EC7-8E44-27693793F4F9}"/>
    <cellStyle name="Normal 10 2" xfId="50" xr:uid="{11CA8F4C-8437-4B82-9C2C-29033B4D4720}"/>
    <cellStyle name="Normal 11" xfId="40" xr:uid="{1EC16F44-0566-470E-8DC0-A4922FEE4061}"/>
    <cellStyle name="Normal 2" xfId="2" xr:uid="{9D39FE08-3C52-49FC-910D-5014834819D2}"/>
    <cellStyle name="Normal 2 2" xfId="7" xr:uid="{C76AC527-1014-47A7-AC2C-AC02C3877AAB}"/>
    <cellStyle name="Normal 2 2 2" xfId="52" xr:uid="{57A66D55-E991-4F10-85F8-1B0C7AF140FC}"/>
    <cellStyle name="Normal 2 3" xfId="6" xr:uid="{D6DA3159-4AFF-411D-A900-7B6331597C65}"/>
    <cellStyle name="Normal 2 4" xfId="10" xr:uid="{C8042E58-5F1A-4DFE-AAED-E779633FA40C}"/>
    <cellStyle name="Normal 3" xfId="17" xr:uid="{759BE712-4F6B-441A-B7A3-7377BFC00C28}"/>
    <cellStyle name="Normal 3 2" xfId="19" xr:uid="{804F4C10-B304-4EA3-969A-955714E34930}"/>
    <cellStyle name="Normal 3 3" xfId="25" xr:uid="{EAE5976D-EE23-4A83-A134-3C5F069590D0}"/>
    <cellStyle name="Normal 4" xfId="4" xr:uid="{64B55A05-64A6-42D7-8230-A948CDB91156}"/>
    <cellStyle name="Normal 4 2" xfId="20" xr:uid="{190EEE49-655E-4593-8785-F9118E4CCDC4}"/>
    <cellStyle name="Normal 4 3" xfId="24" xr:uid="{8BF68397-02E7-4ED4-8E7E-3FFD5C298710}"/>
    <cellStyle name="Normal 5" xfId="11" xr:uid="{5CFEC9E1-EFDC-4DAE-82A4-FF630B919C6B}"/>
    <cellStyle name="Normal 5 2" xfId="53" xr:uid="{563C0E54-260C-484C-9B56-A77BCB50A901}"/>
    <cellStyle name="Normal 6" xfId="28" xr:uid="{D0E60CE8-3A89-4579-A22D-74B06AE724C9}"/>
    <cellStyle name="Normal 7" xfId="1" xr:uid="{62D42E83-4544-4A9B-A074-A8BFDB1563A3}"/>
    <cellStyle name="Normal 7 2" xfId="13" xr:uid="{B5B4C480-F936-4EA1-A6ED-FF6EF4DB27DF}"/>
    <cellStyle name="Normal 7 3" xfId="12" xr:uid="{9F343B9E-0A59-4274-8931-CCEBE4B070B8}"/>
    <cellStyle name="Normal 8" xfId="26" xr:uid="{F0886120-DE17-4B7C-8122-76C7BF30233D}"/>
    <cellStyle name="Normal 8 2" xfId="37" xr:uid="{E256F490-2A47-4B75-9CD6-C307D7342F8E}"/>
    <cellStyle name="Normal 9" xfId="35" xr:uid="{0C5FEFD2-A748-47BF-856F-EF96940374E1}"/>
    <cellStyle name="Percent 2" xfId="15" xr:uid="{874B032F-34F1-4F24-A5D5-F588801DB90B}"/>
    <cellStyle name="Percent 2 2" xfId="9" xr:uid="{14EEC31A-2C9D-4F4C-9E07-B8FE6A48C2DE}"/>
    <cellStyle name="Percent 3" xfId="22" xr:uid="{A280EBD7-C04D-4C1A-A725-1EDD6090F71C}"/>
    <cellStyle name="Percent 4" xfId="29" xr:uid="{663C4E19-18DB-4EA1-B7EE-9E63EA3EAB5A}"/>
    <cellStyle name="Percent 5" xfId="31" xr:uid="{57211BCC-76E5-4935-93C4-E945D92F0322}"/>
    <cellStyle name="Percent 6" xfId="34" xr:uid="{CCF8FCB8-15CB-47CA-BB20-07695FA6C5C7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1226CB-0107-4D8F-A599-9B58ED89F844}">
  <dimension ref="A1:P336"/>
  <sheetViews>
    <sheetView tabSelected="1" zoomScale="70" zoomScaleNormal="70" workbookViewId="0">
      <pane xSplit="6" ySplit="2" topLeftCell="L121" activePane="bottomRight" state="frozen"/>
      <selection pane="topRight" activeCell="C1" sqref="C1"/>
      <selection pane="bottomLeft" activeCell="A3" sqref="A3"/>
      <selection pane="bottomRight" activeCell="M139" sqref="M139"/>
    </sheetView>
  </sheetViews>
  <sheetFormatPr defaultRowHeight="14.5" x14ac:dyDescent="0.35"/>
  <cols>
    <col min="1" max="1" width="6.36328125" bestFit="1" customWidth="1"/>
    <col min="2" max="2" width="5.90625" bestFit="1" customWidth="1"/>
    <col min="3" max="3" width="8" bestFit="1" customWidth="1"/>
    <col min="4" max="4" width="11.36328125" bestFit="1" customWidth="1"/>
    <col min="5" max="5" width="23.1796875" customWidth="1"/>
    <col min="6" max="6" width="29" style="5" customWidth="1"/>
    <col min="7" max="7" width="15.1796875" style="5" bestFit="1" customWidth="1"/>
    <col min="8" max="8" width="40.453125" style="5" hidden="1" customWidth="1"/>
    <col min="9" max="9" width="25.1796875" customWidth="1"/>
    <col min="10" max="10" width="22.08984375" customWidth="1"/>
    <col min="11" max="11" width="23.08984375" customWidth="1"/>
    <col min="12" max="12" width="61.26953125" bestFit="1" customWidth="1"/>
    <col min="13" max="13" width="65.90625" bestFit="1" customWidth="1"/>
    <col min="14" max="14" width="51.7265625" customWidth="1"/>
    <col min="15" max="15" width="19.26953125" customWidth="1"/>
    <col min="16" max="16" width="24.54296875" bestFit="1" customWidth="1"/>
  </cols>
  <sheetData>
    <row r="1" spans="1:16" s="6" customFormat="1" x14ac:dyDescent="0.35">
      <c r="E1" s="6" t="s">
        <v>226</v>
      </c>
      <c r="F1" s="6" t="s">
        <v>226</v>
      </c>
      <c r="G1" s="6" t="s">
        <v>226</v>
      </c>
      <c r="H1" s="7"/>
      <c r="J1" s="6" t="s">
        <v>250</v>
      </c>
      <c r="K1" s="6" t="s">
        <v>250</v>
      </c>
    </row>
    <row r="2" spans="1:16" x14ac:dyDescent="0.35">
      <c r="A2" t="s">
        <v>454</v>
      </c>
      <c r="B2" t="s">
        <v>455</v>
      </c>
      <c r="C2" t="s">
        <v>456</v>
      </c>
      <c r="D2" s="2" t="s">
        <v>440</v>
      </c>
      <c r="E2" s="2" t="s">
        <v>216</v>
      </c>
      <c r="F2" s="3" t="s">
        <v>0</v>
      </c>
      <c r="G2" s="3" t="s">
        <v>220</v>
      </c>
      <c r="H2" s="3" t="s">
        <v>167</v>
      </c>
      <c r="I2" s="1" t="s">
        <v>1</v>
      </c>
      <c r="J2" s="1" t="s">
        <v>25</v>
      </c>
      <c r="K2" s="1" t="s">
        <v>26</v>
      </c>
      <c r="L2" s="1" t="s">
        <v>24</v>
      </c>
      <c r="M2" s="1" t="s">
        <v>259</v>
      </c>
      <c r="N2" s="1" t="s">
        <v>260</v>
      </c>
      <c r="O2" s="1" t="s">
        <v>92</v>
      </c>
      <c r="P2" s="1" t="s">
        <v>333</v>
      </c>
    </row>
    <row r="3" spans="1:16" x14ac:dyDescent="0.35">
      <c r="A3" t="str">
        <f>_xlfn.XLOOKUP(I3,Sheet3!A:A,Sheet3!B:B)</f>
        <v>AS</v>
      </c>
      <c r="B3">
        <v>27</v>
      </c>
      <c r="C3" s="10">
        <v>1</v>
      </c>
      <c r="D3" t="str">
        <f t="shared" ref="D3:D66" si="0">A3&amp;-B3&amp;-C3</f>
        <v>AS-27-1</v>
      </c>
      <c r="E3" t="s">
        <v>227</v>
      </c>
      <c r="F3" t="s">
        <v>381</v>
      </c>
      <c r="G3"/>
      <c r="H3"/>
      <c r="I3" t="s">
        <v>356</v>
      </c>
      <c r="J3">
        <v>81123102</v>
      </c>
      <c r="K3">
        <v>52041499</v>
      </c>
      <c r="L3" t="s">
        <v>254</v>
      </c>
      <c r="M3" t="s">
        <v>255</v>
      </c>
      <c r="N3" t="s">
        <v>261</v>
      </c>
      <c r="P3" t="s">
        <v>356</v>
      </c>
    </row>
    <row r="4" spans="1:16" x14ac:dyDescent="0.35">
      <c r="A4" t="str">
        <f>_xlfn.XLOOKUP(I4,Sheet3!A:A,Sheet3!B:B)</f>
        <v>AS</v>
      </c>
      <c r="B4">
        <v>27</v>
      </c>
      <c r="C4" s="11">
        <f>C3+1</f>
        <v>2</v>
      </c>
      <c r="D4" t="str">
        <f t="shared" si="0"/>
        <v>AS-27-2</v>
      </c>
      <c r="E4" t="s">
        <v>227</v>
      </c>
      <c r="F4" t="s">
        <v>228</v>
      </c>
      <c r="G4"/>
      <c r="H4"/>
      <c r="I4" t="s">
        <v>356</v>
      </c>
      <c r="J4">
        <v>81123102</v>
      </c>
      <c r="K4">
        <v>52041499</v>
      </c>
      <c r="L4" t="s">
        <v>254</v>
      </c>
      <c r="M4" t="s">
        <v>255</v>
      </c>
      <c r="N4" t="s">
        <v>261</v>
      </c>
      <c r="P4" t="s">
        <v>356</v>
      </c>
    </row>
    <row r="5" spans="1:16" x14ac:dyDescent="0.35">
      <c r="A5" t="str">
        <f>_xlfn.XLOOKUP(I5,Sheet3!A:A,Sheet3!B:B)</f>
        <v>AS</v>
      </c>
      <c r="B5">
        <v>27</v>
      </c>
      <c r="C5" s="11">
        <f t="shared" ref="C5:C35" si="1">C4+1</f>
        <v>3</v>
      </c>
      <c r="D5" t="str">
        <f t="shared" si="0"/>
        <v>AS-27-3</v>
      </c>
      <c r="E5" t="s">
        <v>227</v>
      </c>
      <c r="F5" t="s">
        <v>229</v>
      </c>
      <c r="G5"/>
      <c r="H5"/>
      <c r="I5" t="s">
        <v>356</v>
      </c>
      <c r="J5">
        <v>81123102</v>
      </c>
      <c r="K5">
        <v>52041499</v>
      </c>
      <c r="L5" t="s">
        <v>254</v>
      </c>
      <c r="M5" t="s">
        <v>255</v>
      </c>
      <c r="N5" t="s">
        <v>261</v>
      </c>
      <c r="P5" t="s">
        <v>356</v>
      </c>
    </row>
    <row r="6" spans="1:16" x14ac:dyDescent="0.35">
      <c r="A6" t="str">
        <f>_xlfn.XLOOKUP(I6,Sheet3!A:A,Sheet3!B:B)</f>
        <v>AS</v>
      </c>
      <c r="B6">
        <v>27</v>
      </c>
      <c r="C6" s="11">
        <f t="shared" si="1"/>
        <v>4</v>
      </c>
      <c r="D6" t="str">
        <f t="shared" si="0"/>
        <v>AS-27-4</v>
      </c>
      <c r="E6" t="s">
        <v>421</v>
      </c>
      <c r="F6" t="s">
        <v>12</v>
      </c>
      <c r="G6" t="s">
        <v>221</v>
      </c>
      <c r="H6"/>
      <c r="I6" t="s">
        <v>356</v>
      </c>
      <c r="J6">
        <v>81123102</v>
      </c>
      <c r="K6">
        <v>52951101</v>
      </c>
      <c r="L6" s="5" t="s">
        <v>419</v>
      </c>
      <c r="N6" t="s">
        <v>411</v>
      </c>
    </row>
    <row r="7" spans="1:16" x14ac:dyDescent="0.35">
      <c r="A7" t="str">
        <f>_xlfn.XLOOKUP(I7,Sheet3!A:A,Sheet3!B:B)</f>
        <v>AS</v>
      </c>
      <c r="B7">
        <v>27</v>
      </c>
      <c r="C7" s="11">
        <f t="shared" si="1"/>
        <v>5</v>
      </c>
      <c r="D7" t="str">
        <f t="shared" si="0"/>
        <v>AS-27-5</v>
      </c>
      <c r="E7" t="s">
        <v>421</v>
      </c>
      <c r="F7" t="s">
        <v>12</v>
      </c>
      <c r="G7" t="s">
        <v>222</v>
      </c>
      <c r="H7"/>
      <c r="I7" t="s">
        <v>356</v>
      </c>
      <c r="J7">
        <v>80123102</v>
      </c>
      <c r="K7">
        <v>61721101</v>
      </c>
      <c r="L7" s="5" t="s">
        <v>419</v>
      </c>
      <c r="N7" t="s">
        <v>411</v>
      </c>
    </row>
    <row r="8" spans="1:16" x14ac:dyDescent="0.35">
      <c r="A8" t="str">
        <f>_xlfn.XLOOKUP(I8,Sheet3!A:A,Sheet3!B:B)</f>
        <v>AS</v>
      </c>
      <c r="B8">
        <v>27</v>
      </c>
      <c r="C8" s="11">
        <f t="shared" si="1"/>
        <v>6</v>
      </c>
      <c r="D8" t="str">
        <f t="shared" si="0"/>
        <v>AS-27-6</v>
      </c>
      <c r="E8" t="s">
        <v>421</v>
      </c>
      <c r="F8" s="5" t="s">
        <v>278</v>
      </c>
      <c r="I8" t="s">
        <v>356</v>
      </c>
      <c r="J8">
        <v>80123102</v>
      </c>
      <c r="K8">
        <v>61721101</v>
      </c>
    </row>
    <row r="9" spans="1:16" x14ac:dyDescent="0.35">
      <c r="A9" t="str">
        <f>_xlfn.XLOOKUP(I9,Sheet3!A:A,Sheet3!B:B)</f>
        <v>AS</v>
      </c>
      <c r="B9">
        <v>27</v>
      </c>
      <c r="C9" s="11">
        <f t="shared" si="1"/>
        <v>7</v>
      </c>
      <c r="D9" t="str">
        <f t="shared" si="0"/>
        <v>AS-27-7</v>
      </c>
      <c r="E9" t="s">
        <v>421</v>
      </c>
      <c r="F9" s="5" t="s">
        <v>279</v>
      </c>
      <c r="I9" t="s">
        <v>356</v>
      </c>
      <c r="J9">
        <v>80123102</v>
      </c>
      <c r="K9">
        <v>61721101</v>
      </c>
    </row>
    <row r="10" spans="1:16" x14ac:dyDescent="0.35">
      <c r="A10" t="str">
        <f>_xlfn.XLOOKUP(I10,Sheet3!A:A,Sheet3!B:B)</f>
        <v>AS</v>
      </c>
      <c r="B10">
        <v>27</v>
      </c>
      <c r="C10" s="11">
        <f t="shared" si="1"/>
        <v>8</v>
      </c>
      <c r="D10" t="str">
        <f t="shared" si="0"/>
        <v>AS-27-8</v>
      </c>
      <c r="E10" t="s">
        <v>421</v>
      </c>
      <c r="F10" t="s">
        <v>11</v>
      </c>
      <c r="G10"/>
      <c r="H10"/>
      <c r="I10" t="s">
        <v>356</v>
      </c>
      <c r="J10">
        <v>80123102</v>
      </c>
      <c r="K10">
        <v>61721101</v>
      </c>
      <c r="L10" t="s">
        <v>10</v>
      </c>
      <c r="P10" t="s">
        <v>356</v>
      </c>
    </row>
    <row r="11" spans="1:16" x14ac:dyDescent="0.35">
      <c r="A11" t="str">
        <f>_xlfn.XLOOKUP(I11,Sheet3!A:A,Sheet3!B:B)</f>
        <v>AS</v>
      </c>
      <c r="B11">
        <v>27</v>
      </c>
      <c r="C11" s="11">
        <f t="shared" si="1"/>
        <v>9</v>
      </c>
      <c r="D11" t="str">
        <f t="shared" si="0"/>
        <v>AS-27-9</v>
      </c>
      <c r="E11" t="s">
        <v>22</v>
      </c>
      <c r="F11" t="s">
        <v>22</v>
      </c>
      <c r="G11"/>
      <c r="H11"/>
      <c r="I11" t="s">
        <v>356</v>
      </c>
      <c r="J11">
        <v>81123102</v>
      </c>
      <c r="K11">
        <v>52081103</v>
      </c>
      <c r="L11" t="s">
        <v>263</v>
      </c>
      <c r="M11" t="s">
        <v>256</v>
      </c>
      <c r="N11" t="s">
        <v>261</v>
      </c>
      <c r="P11" t="s">
        <v>356</v>
      </c>
    </row>
    <row r="12" spans="1:16" x14ac:dyDescent="0.35">
      <c r="A12" t="str">
        <f>_xlfn.XLOOKUP(I12,Sheet3!A:A,Sheet3!B:B)</f>
        <v>AS</v>
      </c>
      <c r="B12">
        <v>27</v>
      </c>
      <c r="C12" s="11">
        <f t="shared" si="1"/>
        <v>10</v>
      </c>
      <c r="D12" t="str">
        <f t="shared" si="0"/>
        <v>AS-27-10</v>
      </c>
      <c r="E12" t="s">
        <v>266</v>
      </c>
      <c r="F12" t="s">
        <v>230</v>
      </c>
      <c r="G12"/>
      <c r="H12"/>
      <c r="I12" t="s">
        <v>356</v>
      </c>
      <c r="J12">
        <v>80123102</v>
      </c>
      <c r="K12">
        <v>61711101</v>
      </c>
      <c r="P12" t="s">
        <v>356</v>
      </c>
    </row>
    <row r="13" spans="1:16" x14ac:dyDescent="0.35">
      <c r="A13" t="str">
        <f>_xlfn.XLOOKUP(I13,Sheet3!A:A,Sheet3!B:B)</f>
        <v>AS</v>
      </c>
      <c r="B13">
        <v>27</v>
      </c>
      <c r="C13" s="11">
        <f t="shared" si="1"/>
        <v>11</v>
      </c>
      <c r="D13" t="str">
        <f t="shared" si="0"/>
        <v>AS-27-11</v>
      </c>
      <c r="E13" t="s">
        <v>266</v>
      </c>
      <c r="F13" t="s">
        <v>265</v>
      </c>
      <c r="G13"/>
      <c r="H13"/>
      <c r="I13" t="s">
        <v>356</v>
      </c>
      <c r="J13">
        <v>80123102</v>
      </c>
      <c r="K13">
        <v>61711101</v>
      </c>
      <c r="L13" t="s">
        <v>251</v>
      </c>
      <c r="P13" t="s">
        <v>356</v>
      </c>
    </row>
    <row r="14" spans="1:16" x14ac:dyDescent="0.35">
      <c r="A14" t="str">
        <f>_xlfn.XLOOKUP(I14,Sheet3!A:A,Sheet3!B:B)</f>
        <v>AS</v>
      </c>
      <c r="B14">
        <v>27</v>
      </c>
      <c r="C14" s="11">
        <f t="shared" si="1"/>
        <v>12</v>
      </c>
      <c r="D14" t="str">
        <f t="shared" si="0"/>
        <v>AS-27-12</v>
      </c>
      <c r="E14" t="s">
        <v>2</v>
      </c>
      <c r="F14" t="s">
        <v>2</v>
      </c>
      <c r="G14"/>
      <c r="H14"/>
      <c r="I14" t="s">
        <v>356</v>
      </c>
      <c r="J14">
        <v>80123102</v>
      </c>
      <c r="K14">
        <v>61041101</v>
      </c>
      <c r="P14" t="s">
        <v>88</v>
      </c>
    </row>
    <row r="15" spans="1:16" x14ac:dyDescent="0.35">
      <c r="A15" t="str">
        <f>_xlfn.XLOOKUP(I15,Sheet3!A:A,Sheet3!B:B)</f>
        <v>AS</v>
      </c>
      <c r="B15">
        <v>27</v>
      </c>
      <c r="C15" s="11">
        <f t="shared" si="1"/>
        <v>13</v>
      </c>
      <c r="D15" t="str">
        <f t="shared" si="0"/>
        <v>AS-27-13</v>
      </c>
      <c r="E15" t="s">
        <v>231</v>
      </c>
      <c r="F15" t="s">
        <v>89</v>
      </c>
      <c r="G15"/>
      <c r="H15"/>
      <c r="I15" t="s">
        <v>356</v>
      </c>
      <c r="J15">
        <v>80123102</v>
      </c>
      <c r="K15">
        <v>61111201</v>
      </c>
      <c r="P15" t="s">
        <v>356</v>
      </c>
    </row>
    <row r="16" spans="1:16" x14ac:dyDescent="0.35">
      <c r="A16" t="str">
        <f>_xlfn.XLOOKUP(I16,Sheet3!A:A,Sheet3!B:B)</f>
        <v>AS</v>
      </c>
      <c r="B16">
        <v>27</v>
      </c>
      <c r="C16" s="11">
        <f t="shared" si="1"/>
        <v>14</v>
      </c>
      <c r="D16" t="str">
        <f t="shared" si="0"/>
        <v>AS-27-14</v>
      </c>
      <c r="E16" t="s">
        <v>231</v>
      </c>
      <c r="F16" t="s">
        <v>18</v>
      </c>
      <c r="G16"/>
      <c r="H16"/>
      <c r="I16" t="s">
        <v>356</v>
      </c>
      <c r="J16">
        <v>81123102</v>
      </c>
      <c r="K16">
        <v>52119101</v>
      </c>
      <c r="L16" t="s">
        <v>425</v>
      </c>
      <c r="M16" t="s">
        <v>426</v>
      </c>
      <c r="N16" t="s">
        <v>261</v>
      </c>
      <c r="P16" t="s">
        <v>356</v>
      </c>
    </row>
    <row r="17" spans="1:16" x14ac:dyDescent="0.35">
      <c r="A17" t="str">
        <f>_xlfn.XLOOKUP(I17,Sheet3!A:A,Sheet3!B:B)</f>
        <v>AS</v>
      </c>
      <c r="B17">
        <v>27</v>
      </c>
      <c r="C17" s="11">
        <f t="shared" si="1"/>
        <v>15</v>
      </c>
      <c r="D17" t="str">
        <f t="shared" si="0"/>
        <v>AS-27-15</v>
      </c>
      <c r="E17" t="s">
        <v>4</v>
      </c>
      <c r="F17" t="s">
        <v>4</v>
      </c>
      <c r="G17"/>
      <c r="H17"/>
      <c r="I17" t="s">
        <v>356</v>
      </c>
      <c r="J17">
        <v>81123102</v>
      </c>
      <c r="K17">
        <v>52041405</v>
      </c>
      <c r="L17" t="s">
        <v>254</v>
      </c>
      <c r="M17" t="s">
        <v>255</v>
      </c>
      <c r="N17" t="s">
        <v>261</v>
      </c>
      <c r="P17" t="s">
        <v>356</v>
      </c>
    </row>
    <row r="18" spans="1:16" x14ac:dyDescent="0.35">
      <c r="A18" t="str">
        <f>_xlfn.XLOOKUP(I18,Sheet3!A:A,Sheet3!B:B)</f>
        <v>AS</v>
      </c>
      <c r="B18">
        <v>27</v>
      </c>
      <c r="C18" s="11">
        <f t="shared" si="1"/>
        <v>16</v>
      </c>
      <c r="D18" t="str">
        <f t="shared" si="0"/>
        <v>AS-27-16</v>
      </c>
      <c r="E18" t="s">
        <v>312</v>
      </c>
      <c r="F18" t="s">
        <v>232</v>
      </c>
      <c r="G18"/>
      <c r="H18"/>
      <c r="I18" t="s">
        <v>356</v>
      </c>
      <c r="J18">
        <v>81123102</v>
      </c>
      <c r="K18">
        <v>52111102</v>
      </c>
      <c r="L18" t="s">
        <v>251</v>
      </c>
      <c r="O18" t="s">
        <v>252</v>
      </c>
    </row>
    <row r="19" spans="1:16" x14ac:dyDescent="0.35">
      <c r="A19" t="str">
        <f>_xlfn.XLOOKUP(I19,Sheet3!A:A,Sheet3!B:B)</f>
        <v>AS</v>
      </c>
      <c r="B19">
        <v>27</v>
      </c>
      <c r="C19" s="11">
        <f t="shared" si="1"/>
        <v>17</v>
      </c>
      <c r="D19" t="str">
        <f t="shared" si="0"/>
        <v>AS-27-17</v>
      </c>
      <c r="E19" t="s">
        <v>312</v>
      </c>
      <c r="F19" t="s">
        <v>233</v>
      </c>
      <c r="G19"/>
      <c r="H19"/>
      <c r="I19" t="s">
        <v>356</v>
      </c>
      <c r="J19">
        <v>81123102</v>
      </c>
      <c r="K19">
        <v>52111102</v>
      </c>
      <c r="L19" t="s">
        <v>251</v>
      </c>
      <c r="O19" t="s">
        <v>253</v>
      </c>
    </row>
    <row r="20" spans="1:16" x14ac:dyDescent="0.35">
      <c r="A20" t="str">
        <f>_xlfn.XLOOKUP(I20,Sheet3!A:A,Sheet3!B:B)</f>
        <v>AS</v>
      </c>
      <c r="B20">
        <v>27</v>
      </c>
      <c r="C20" s="11">
        <f t="shared" si="1"/>
        <v>18</v>
      </c>
      <c r="D20" t="str">
        <f t="shared" si="0"/>
        <v>AS-27-18</v>
      </c>
      <c r="E20" t="s">
        <v>23</v>
      </c>
      <c r="F20" t="s">
        <v>23</v>
      </c>
      <c r="G20"/>
      <c r="H20"/>
      <c r="I20" t="s">
        <v>356</v>
      </c>
      <c r="J20">
        <v>80123102</v>
      </c>
      <c r="K20">
        <v>61081101</v>
      </c>
      <c r="L20" t="s">
        <v>257</v>
      </c>
      <c r="M20" t="s">
        <v>258</v>
      </c>
      <c r="N20" t="s">
        <v>262</v>
      </c>
      <c r="P20" t="s">
        <v>356</v>
      </c>
    </row>
    <row r="21" spans="1:16" x14ac:dyDescent="0.35">
      <c r="A21" t="str">
        <f>_xlfn.XLOOKUP(I21,Sheet3!A:A,Sheet3!B:B)</f>
        <v>AS</v>
      </c>
      <c r="B21">
        <v>27</v>
      </c>
      <c r="C21" s="11">
        <f t="shared" si="1"/>
        <v>19</v>
      </c>
      <c r="D21" t="str">
        <f t="shared" si="0"/>
        <v>AS-27-19</v>
      </c>
      <c r="E21" t="s">
        <v>310</v>
      </c>
      <c r="F21" t="s">
        <v>265</v>
      </c>
      <c r="G21"/>
      <c r="H21"/>
      <c r="I21" t="s">
        <v>356</v>
      </c>
      <c r="J21">
        <v>81123102</v>
      </c>
      <c r="K21">
        <v>52111101</v>
      </c>
      <c r="L21" t="s">
        <v>251</v>
      </c>
    </row>
    <row r="22" spans="1:16" x14ac:dyDescent="0.35">
      <c r="A22" t="str">
        <f>_xlfn.XLOOKUP(I22,Sheet3!A:A,Sheet3!B:B)</f>
        <v>AS</v>
      </c>
      <c r="B22">
        <v>27</v>
      </c>
      <c r="C22" s="11">
        <f t="shared" si="1"/>
        <v>20</v>
      </c>
      <c r="D22" t="str">
        <f t="shared" si="0"/>
        <v>AS-27-20</v>
      </c>
      <c r="E22" t="s">
        <v>310</v>
      </c>
      <c r="F22" t="s">
        <v>271</v>
      </c>
      <c r="G22"/>
      <c r="H22"/>
      <c r="I22" t="s">
        <v>356</v>
      </c>
      <c r="J22">
        <v>81123102</v>
      </c>
      <c r="K22">
        <v>52111101</v>
      </c>
    </row>
    <row r="23" spans="1:16" x14ac:dyDescent="0.35">
      <c r="A23" t="str">
        <f>_xlfn.XLOOKUP(I23,Sheet3!A:A,Sheet3!B:B)</f>
        <v>AS</v>
      </c>
      <c r="B23">
        <v>27</v>
      </c>
      <c r="C23" s="11">
        <f t="shared" si="1"/>
        <v>21</v>
      </c>
      <c r="D23" t="str">
        <f t="shared" si="0"/>
        <v>AS-27-21</v>
      </c>
      <c r="E23" t="s">
        <v>280</v>
      </c>
      <c r="F23" s="5" t="s">
        <v>280</v>
      </c>
      <c r="I23" t="s">
        <v>356</v>
      </c>
      <c r="J23">
        <v>80123102</v>
      </c>
      <c r="K23">
        <v>61721103</v>
      </c>
    </row>
    <row r="24" spans="1:16" x14ac:dyDescent="0.35">
      <c r="A24" t="str">
        <f>_xlfn.XLOOKUP(I24,Sheet3!A:A,Sheet3!B:B)</f>
        <v>AS</v>
      </c>
      <c r="B24">
        <v>27</v>
      </c>
      <c r="C24" s="11">
        <f t="shared" si="1"/>
        <v>22</v>
      </c>
      <c r="D24" t="str">
        <f t="shared" si="0"/>
        <v>AS-27-22</v>
      </c>
      <c r="E24" t="s">
        <v>90</v>
      </c>
      <c r="F24" t="s">
        <v>90</v>
      </c>
      <c r="G24"/>
      <c r="H24"/>
      <c r="I24" t="s">
        <v>356</v>
      </c>
      <c r="J24">
        <v>80123102</v>
      </c>
      <c r="K24">
        <v>61071099</v>
      </c>
      <c r="P24" t="s">
        <v>356</v>
      </c>
    </row>
    <row r="25" spans="1:16" x14ac:dyDescent="0.35">
      <c r="A25" t="str">
        <f>_xlfn.XLOOKUP(I25,Sheet3!A:A,Sheet3!B:B)</f>
        <v>AS</v>
      </c>
      <c r="B25">
        <v>27</v>
      </c>
      <c r="C25" s="11">
        <f t="shared" si="1"/>
        <v>23</v>
      </c>
      <c r="D25" t="str">
        <f t="shared" si="0"/>
        <v>AS-27-23</v>
      </c>
      <c r="E25" t="s">
        <v>300</v>
      </c>
      <c r="F25" s="8" t="s">
        <v>383</v>
      </c>
      <c r="G25"/>
      <c r="H25"/>
      <c r="I25" t="s">
        <v>356</v>
      </c>
      <c r="J25">
        <v>81123102</v>
      </c>
      <c r="K25">
        <v>52061101</v>
      </c>
    </row>
    <row r="26" spans="1:16" x14ac:dyDescent="0.35">
      <c r="A26" t="str">
        <f>_xlfn.XLOOKUP(I26,Sheet3!A:A,Sheet3!B:B)</f>
        <v>AS</v>
      </c>
      <c r="B26">
        <v>27</v>
      </c>
      <c r="C26" s="11">
        <f t="shared" si="1"/>
        <v>24</v>
      </c>
      <c r="D26" t="str">
        <f t="shared" si="0"/>
        <v>AS-27-24</v>
      </c>
      <c r="E26" t="s">
        <v>300</v>
      </c>
      <c r="F26" t="s">
        <v>235</v>
      </c>
      <c r="G26"/>
      <c r="H26"/>
      <c r="I26" t="s">
        <v>356</v>
      </c>
      <c r="J26">
        <v>81123102</v>
      </c>
      <c r="K26">
        <v>52061103</v>
      </c>
      <c r="L26" t="s">
        <v>251</v>
      </c>
    </row>
    <row r="27" spans="1:16" x14ac:dyDescent="0.35">
      <c r="A27" t="str">
        <f>_xlfn.XLOOKUP(I27,Sheet3!A:A,Sheet3!B:B)</f>
        <v>AS</v>
      </c>
      <c r="B27">
        <v>27</v>
      </c>
      <c r="C27" s="11">
        <f t="shared" si="1"/>
        <v>25</v>
      </c>
      <c r="D27" t="str">
        <f t="shared" si="0"/>
        <v>AS-27-25</v>
      </c>
      <c r="E27" t="s">
        <v>300</v>
      </c>
      <c r="F27" t="s">
        <v>384</v>
      </c>
      <c r="G27"/>
      <c r="H27"/>
      <c r="I27" t="s">
        <v>356</v>
      </c>
      <c r="J27">
        <v>81123102</v>
      </c>
      <c r="K27">
        <v>52061111</v>
      </c>
      <c r="L27" t="s">
        <v>251</v>
      </c>
    </row>
    <row r="28" spans="1:16" x14ac:dyDescent="0.35">
      <c r="A28" t="str">
        <f>_xlfn.XLOOKUP(I28,Sheet3!A:A,Sheet3!B:B)</f>
        <v>AS</v>
      </c>
      <c r="B28">
        <v>27</v>
      </c>
      <c r="C28" s="11">
        <f t="shared" si="1"/>
        <v>26</v>
      </c>
      <c r="D28" t="str">
        <f t="shared" si="0"/>
        <v>AS-27-26</v>
      </c>
      <c r="E28" t="s">
        <v>300</v>
      </c>
      <c r="F28" s="8" t="s">
        <v>272</v>
      </c>
      <c r="G28"/>
      <c r="H28"/>
      <c r="I28" t="s">
        <v>356</v>
      </c>
      <c r="J28">
        <v>81123102</v>
      </c>
      <c r="K28">
        <v>52061101</v>
      </c>
      <c r="L28" t="s">
        <v>251</v>
      </c>
      <c r="O28" t="s">
        <v>418</v>
      </c>
    </row>
    <row r="29" spans="1:16" x14ac:dyDescent="0.35">
      <c r="A29" t="str">
        <f>_xlfn.XLOOKUP(I29,Sheet3!A:A,Sheet3!B:B)</f>
        <v>AS</v>
      </c>
      <c r="B29">
        <v>27</v>
      </c>
      <c r="C29" s="11">
        <f t="shared" si="1"/>
        <v>27</v>
      </c>
      <c r="D29" t="str">
        <f t="shared" si="0"/>
        <v>AS-27-27</v>
      </c>
      <c r="E29" t="s">
        <v>300</v>
      </c>
      <c r="F29" t="s">
        <v>382</v>
      </c>
      <c r="G29"/>
      <c r="H29"/>
      <c r="I29" t="s">
        <v>356</v>
      </c>
      <c r="J29">
        <v>80123102</v>
      </c>
      <c r="K29">
        <v>61061104</v>
      </c>
    </row>
    <row r="30" spans="1:16" x14ac:dyDescent="0.35">
      <c r="A30" t="str">
        <f>_xlfn.XLOOKUP(I30,Sheet3!A:A,Sheet3!B:B)</f>
        <v>AS</v>
      </c>
      <c r="B30">
        <v>27</v>
      </c>
      <c r="C30" s="11">
        <f t="shared" si="1"/>
        <v>28</v>
      </c>
      <c r="D30" t="str">
        <f t="shared" si="0"/>
        <v>AS-27-28</v>
      </c>
      <c r="E30" t="s">
        <v>300</v>
      </c>
      <c r="F30" t="s">
        <v>234</v>
      </c>
      <c r="G30"/>
      <c r="H30"/>
      <c r="I30" t="s">
        <v>356</v>
      </c>
      <c r="J30">
        <v>80123102</v>
      </c>
      <c r="K30">
        <v>61061104</v>
      </c>
      <c r="L30" t="s">
        <v>385</v>
      </c>
      <c r="M30" t="s">
        <v>386</v>
      </c>
      <c r="N30" t="s">
        <v>261</v>
      </c>
    </row>
    <row r="31" spans="1:16" x14ac:dyDescent="0.35">
      <c r="A31" t="str">
        <f>_xlfn.XLOOKUP(I31,Sheet3!A:A,Sheet3!B:B)</f>
        <v>AS</v>
      </c>
      <c r="B31">
        <v>27</v>
      </c>
      <c r="C31" s="11">
        <f t="shared" si="1"/>
        <v>29</v>
      </c>
      <c r="D31" t="str">
        <f t="shared" si="0"/>
        <v>AS-27-29</v>
      </c>
      <c r="E31" t="s">
        <v>91</v>
      </c>
      <c r="F31" t="s">
        <v>91</v>
      </c>
      <c r="G31"/>
      <c r="H31"/>
      <c r="I31" t="s">
        <v>356</v>
      </c>
      <c r="J31">
        <v>81123102</v>
      </c>
      <c r="K31">
        <v>52041401</v>
      </c>
      <c r="L31" t="s">
        <v>254</v>
      </c>
      <c r="M31" t="s">
        <v>255</v>
      </c>
      <c r="N31" t="s">
        <v>261</v>
      </c>
      <c r="P31" t="s">
        <v>356</v>
      </c>
    </row>
    <row r="32" spans="1:16" x14ac:dyDescent="0.35">
      <c r="A32" t="str">
        <f>_xlfn.XLOOKUP(I32,Sheet3!A:A,Sheet3!B:B)</f>
        <v>AS</v>
      </c>
      <c r="B32">
        <v>27</v>
      </c>
      <c r="C32" s="11">
        <f t="shared" si="1"/>
        <v>30</v>
      </c>
      <c r="D32" t="str">
        <f t="shared" si="0"/>
        <v>AS-27-30</v>
      </c>
      <c r="E32" t="s">
        <v>264</v>
      </c>
      <c r="F32" t="s">
        <v>21</v>
      </c>
      <c r="G32"/>
      <c r="H32"/>
      <c r="I32" t="s">
        <v>356</v>
      </c>
      <c r="J32">
        <v>81123102</v>
      </c>
      <c r="K32">
        <v>52081101</v>
      </c>
      <c r="P32" t="s">
        <v>356</v>
      </c>
    </row>
    <row r="33" spans="1:16" x14ac:dyDescent="0.35">
      <c r="A33" t="str">
        <f>_xlfn.XLOOKUP(I33,Sheet3!A:A,Sheet3!B:B)</f>
        <v>AS</v>
      </c>
      <c r="B33">
        <v>27</v>
      </c>
      <c r="C33" s="11">
        <f t="shared" si="1"/>
        <v>31</v>
      </c>
      <c r="D33" t="str">
        <f t="shared" si="0"/>
        <v>AS-27-31</v>
      </c>
      <c r="E33" t="s">
        <v>264</v>
      </c>
      <c r="F33" t="s">
        <v>20</v>
      </c>
      <c r="G33"/>
      <c r="H33"/>
      <c r="I33" t="s">
        <v>356</v>
      </c>
      <c r="J33">
        <v>81123102</v>
      </c>
      <c r="K33">
        <v>52081101</v>
      </c>
      <c r="P33" t="s">
        <v>356</v>
      </c>
    </row>
    <row r="34" spans="1:16" x14ac:dyDescent="0.35">
      <c r="A34" t="str">
        <f>_xlfn.XLOOKUP(I34,Sheet3!A:A,Sheet3!B:B)</f>
        <v>AS</v>
      </c>
      <c r="B34">
        <v>27</v>
      </c>
      <c r="C34" s="11">
        <f t="shared" si="1"/>
        <v>32</v>
      </c>
      <c r="D34" t="str">
        <f t="shared" si="0"/>
        <v>AS-27-32</v>
      </c>
      <c r="E34" t="s">
        <v>264</v>
      </c>
      <c r="F34" s="5" t="s">
        <v>420</v>
      </c>
      <c r="I34" t="s">
        <v>356</v>
      </c>
      <c r="J34" s="9">
        <v>80123102</v>
      </c>
      <c r="K34" s="9">
        <v>61081101</v>
      </c>
    </row>
    <row r="35" spans="1:16" x14ac:dyDescent="0.35">
      <c r="A35" t="str">
        <f>_xlfn.XLOOKUP(I35,Sheet3!A:A,Sheet3!B:B)</f>
        <v>AS</v>
      </c>
      <c r="B35">
        <v>27</v>
      </c>
      <c r="C35" s="11">
        <f t="shared" si="1"/>
        <v>33</v>
      </c>
      <c r="D35" t="str">
        <f t="shared" si="0"/>
        <v>AS-27-33</v>
      </c>
      <c r="E35" t="s">
        <v>8</v>
      </c>
      <c r="F35" t="s">
        <v>8</v>
      </c>
      <c r="G35"/>
      <c r="H35"/>
      <c r="I35" t="s">
        <v>356</v>
      </c>
      <c r="J35">
        <v>80123102</v>
      </c>
      <c r="K35">
        <v>61061104</v>
      </c>
      <c r="L35" t="s">
        <v>387</v>
      </c>
      <c r="M35" t="s">
        <v>388</v>
      </c>
      <c r="N35" t="s">
        <v>262</v>
      </c>
      <c r="P35" t="s">
        <v>356</v>
      </c>
    </row>
    <row r="36" spans="1:16" x14ac:dyDescent="0.35">
      <c r="A36" t="str">
        <f>_xlfn.XLOOKUP(I36,Sheet3!A:A,Sheet3!B:B)</f>
        <v>BCA</v>
      </c>
      <c r="B36">
        <v>27</v>
      </c>
      <c r="C36">
        <v>1</v>
      </c>
      <c r="D36" t="str">
        <f t="shared" si="0"/>
        <v>BCA-27-1</v>
      </c>
      <c r="E36" t="s">
        <v>308</v>
      </c>
      <c r="F36" s="5" t="s">
        <v>303</v>
      </c>
      <c r="I36" t="s">
        <v>449</v>
      </c>
      <c r="J36">
        <v>80349101</v>
      </c>
      <c r="K36">
        <v>61959994</v>
      </c>
      <c r="P36" t="s">
        <v>368</v>
      </c>
    </row>
    <row r="37" spans="1:16" x14ac:dyDescent="0.35">
      <c r="A37" t="str">
        <f>_xlfn.XLOOKUP(I37,Sheet3!A:A,Sheet3!B:B)</f>
        <v>BCA</v>
      </c>
      <c r="B37">
        <v>27</v>
      </c>
      <c r="C37">
        <f>C36+1</f>
        <v>2</v>
      </c>
      <c r="D37" t="str">
        <f t="shared" si="0"/>
        <v>BCA-27-2</v>
      </c>
      <c r="E37" t="s">
        <v>308</v>
      </c>
      <c r="F37" s="5" t="s">
        <v>309</v>
      </c>
      <c r="I37" t="s">
        <v>449</v>
      </c>
      <c r="J37">
        <v>81349101</v>
      </c>
      <c r="K37">
        <v>52959901</v>
      </c>
      <c r="P37" t="s">
        <v>368</v>
      </c>
    </row>
    <row r="38" spans="1:16" x14ac:dyDescent="0.35">
      <c r="A38" t="str">
        <f>_xlfn.XLOOKUP(I38,Sheet3!A:A,Sheet3!B:B)</f>
        <v>BCA</v>
      </c>
      <c r="B38">
        <v>27</v>
      </c>
      <c r="C38">
        <f>C37+1</f>
        <v>3</v>
      </c>
      <c r="D38" t="str">
        <f t="shared" si="0"/>
        <v>BCA-27-3</v>
      </c>
      <c r="E38" t="s">
        <v>308</v>
      </c>
      <c r="F38" s="5" t="s">
        <v>304</v>
      </c>
      <c r="I38" t="s">
        <v>449</v>
      </c>
      <c r="J38">
        <v>81349101</v>
      </c>
      <c r="K38">
        <v>52959901</v>
      </c>
      <c r="P38" t="s">
        <v>368</v>
      </c>
    </row>
    <row r="39" spans="1:16" x14ac:dyDescent="0.35">
      <c r="A39" t="str">
        <f>_xlfn.XLOOKUP(I39,Sheet3!A:A,Sheet3!B:B)</f>
        <v>BCA</v>
      </c>
      <c r="B39">
        <v>27</v>
      </c>
      <c r="C39">
        <f>C38+1</f>
        <v>4</v>
      </c>
      <c r="D39" t="str">
        <f t="shared" si="0"/>
        <v>BCA-27-4</v>
      </c>
      <c r="E39" t="s">
        <v>308</v>
      </c>
      <c r="F39" s="5" t="s">
        <v>306</v>
      </c>
      <c r="I39" t="s">
        <v>449</v>
      </c>
      <c r="J39">
        <v>80349101</v>
      </c>
      <c r="K39">
        <v>61959994</v>
      </c>
      <c r="P39" t="s">
        <v>368</v>
      </c>
    </row>
    <row r="40" spans="1:16" x14ac:dyDescent="0.35">
      <c r="A40" t="str">
        <f>_xlfn.XLOOKUP(I40,Sheet3!A:A,Sheet3!B:B)</f>
        <v>BCA</v>
      </c>
      <c r="B40">
        <v>27</v>
      </c>
      <c r="C40">
        <f>C39+1</f>
        <v>5</v>
      </c>
      <c r="D40" t="str">
        <f t="shared" si="0"/>
        <v>BCA-27-5</v>
      </c>
      <c r="E40" t="s">
        <v>308</v>
      </c>
      <c r="F40" s="5" t="s">
        <v>307</v>
      </c>
      <c r="I40" t="s">
        <v>449</v>
      </c>
      <c r="J40">
        <v>81222101</v>
      </c>
      <c r="K40">
        <v>61959994</v>
      </c>
      <c r="P40" t="s">
        <v>368</v>
      </c>
    </row>
    <row r="41" spans="1:16" x14ac:dyDescent="0.35">
      <c r="A41" t="str">
        <f>_xlfn.XLOOKUP(I41,Sheet3!A:A,Sheet3!B:B)</f>
        <v>BCA</v>
      </c>
      <c r="B41">
        <v>27</v>
      </c>
      <c r="C41">
        <f>C40+1</f>
        <v>6</v>
      </c>
      <c r="D41" t="str">
        <f t="shared" si="0"/>
        <v>BCA-27-6</v>
      </c>
      <c r="E41" t="s">
        <v>308</v>
      </c>
      <c r="F41" s="5" t="s">
        <v>305</v>
      </c>
      <c r="I41" t="s">
        <v>449</v>
      </c>
      <c r="J41">
        <v>81349101</v>
      </c>
      <c r="K41">
        <v>52959901</v>
      </c>
      <c r="P41" t="s">
        <v>368</v>
      </c>
    </row>
    <row r="42" spans="1:16" x14ac:dyDescent="0.35">
      <c r="A42" t="str">
        <f>_xlfn.XLOOKUP(I42,Sheet3!A:A,Sheet3!B:B)</f>
        <v>CF</v>
      </c>
      <c r="B42">
        <v>27</v>
      </c>
      <c r="C42">
        <v>1</v>
      </c>
      <c r="D42" t="str">
        <f t="shared" si="0"/>
        <v>CF-27-1</v>
      </c>
      <c r="E42" t="s">
        <v>319</v>
      </c>
      <c r="F42" s="5" t="s">
        <v>281</v>
      </c>
      <c r="I42" t="s">
        <v>355</v>
      </c>
      <c r="J42">
        <v>90134102</v>
      </c>
      <c r="K42">
        <v>52071103</v>
      </c>
      <c r="P42" t="s">
        <v>355</v>
      </c>
    </row>
    <row r="43" spans="1:16" x14ac:dyDescent="0.35">
      <c r="A43" t="str">
        <f>_xlfn.XLOOKUP(I43,Sheet3!A:A,Sheet3!B:B)</f>
        <v>CF</v>
      </c>
      <c r="B43">
        <v>27</v>
      </c>
      <c r="C43">
        <f t="shared" ref="C43:C66" si="2">C42+1</f>
        <v>2</v>
      </c>
      <c r="D43" t="str">
        <f t="shared" si="0"/>
        <v>CF-27-2</v>
      </c>
      <c r="E43" t="s">
        <v>319</v>
      </c>
      <c r="F43" s="5" t="s">
        <v>320</v>
      </c>
      <c r="I43" t="s">
        <v>355</v>
      </c>
      <c r="J43">
        <v>90134102</v>
      </c>
      <c r="K43">
        <v>52091103</v>
      </c>
      <c r="P43" t="s">
        <v>355</v>
      </c>
    </row>
    <row r="44" spans="1:16" x14ac:dyDescent="0.35">
      <c r="A44" t="str">
        <f>_xlfn.XLOOKUP(I44,Sheet3!A:A,Sheet3!B:B)</f>
        <v>CF</v>
      </c>
      <c r="B44">
        <v>27</v>
      </c>
      <c r="C44">
        <f t="shared" si="2"/>
        <v>3</v>
      </c>
      <c r="D44" t="str">
        <f t="shared" si="0"/>
        <v>CF-27-3</v>
      </c>
      <c r="E44" t="s">
        <v>268</v>
      </c>
      <c r="F44" s="4" t="s">
        <v>324</v>
      </c>
      <c r="G44" s="4" t="s">
        <v>223</v>
      </c>
      <c r="H44" s="4"/>
      <c r="I44" t="s">
        <v>355</v>
      </c>
      <c r="J44">
        <v>90111101</v>
      </c>
      <c r="K44">
        <v>52041495</v>
      </c>
      <c r="P44" t="s">
        <v>355</v>
      </c>
    </row>
    <row r="45" spans="1:16" x14ac:dyDescent="0.35">
      <c r="A45" t="str">
        <f>_xlfn.XLOOKUP(I45,Sheet3!A:A,Sheet3!B:B)</f>
        <v>CF</v>
      </c>
      <c r="B45">
        <v>27</v>
      </c>
      <c r="C45">
        <f t="shared" si="2"/>
        <v>4</v>
      </c>
      <c r="D45" t="str">
        <f t="shared" si="0"/>
        <v>CF-27-4</v>
      </c>
      <c r="E45" t="s">
        <v>329</v>
      </c>
      <c r="F45" s="5" t="s">
        <v>328</v>
      </c>
      <c r="G45" s="5" t="s">
        <v>222</v>
      </c>
      <c r="I45" t="s">
        <v>355</v>
      </c>
      <c r="J45">
        <v>80134102</v>
      </c>
      <c r="K45">
        <v>61071001</v>
      </c>
      <c r="P45" t="s">
        <v>355</v>
      </c>
    </row>
    <row r="46" spans="1:16" x14ac:dyDescent="0.35">
      <c r="A46" t="str">
        <f>_xlfn.XLOOKUP(I46,Sheet3!A:A,Sheet3!B:B)</f>
        <v>CF</v>
      </c>
      <c r="B46">
        <v>27</v>
      </c>
      <c r="C46">
        <f t="shared" si="2"/>
        <v>5</v>
      </c>
      <c r="D46" t="str">
        <f t="shared" si="0"/>
        <v>CF-27-5</v>
      </c>
      <c r="E46" t="s">
        <v>329</v>
      </c>
      <c r="F46" s="5" t="s">
        <v>328</v>
      </c>
      <c r="G46" s="5" t="s">
        <v>221</v>
      </c>
      <c r="I46" t="s">
        <v>355</v>
      </c>
      <c r="J46">
        <v>81134102</v>
      </c>
      <c r="K46">
        <v>61071001</v>
      </c>
      <c r="P46" t="s">
        <v>355</v>
      </c>
    </row>
    <row r="47" spans="1:16" x14ac:dyDescent="0.35">
      <c r="A47" t="str">
        <f>_xlfn.XLOOKUP(I47,Sheet3!A:A,Sheet3!B:B)</f>
        <v>CF</v>
      </c>
      <c r="B47">
        <v>27</v>
      </c>
      <c r="C47">
        <f t="shared" si="2"/>
        <v>6</v>
      </c>
      <c r="D47" t="str">
        <f t="shared" si="0"/>
        <v>CF-27-6</v>
      </c>
      <c r="E47" t="s">
        <v>329</v>
      </c>
      <c r="F47" s="5" t="s">
        <v>328</v>
      </c>
      <c r="G47" s="5" t="s">
        <v>223</v>
      </c>
      <c r="I47" t="s">
        <v>355</v>
      </c>
      <c r="J47">
        <v>90134102</v>
      </c>
      <c r="K47">
        <v>61071001</v>
      </c>
      <c r="P47" t="s">
        <v>355</v>
      </c>
    </row>
    <row r="48" spans="1:16" x14ac:dyDescent="0.35">
      <c r="A48" t="str">
        <f>_xlfn.XLOOKUP(I48,Sheet3!A:A,Sheet3!B:B)</f>
        <v>CF</v>
      </c>
      <c r="B48">
        <v>27</v>
      </c>
      <c r="C48">
        <f t="shared" si="2"/>
        <v>7</v>
      </c>
      <c r="D48" t="str">
        <f t="shared" si="0"/>
        <v>CF-27-7</v>
      </c>
      <c r="E48" t="s">
        <v>329</v>
      </c>
      <c r="F48" s="5" t="s">
        <v>330</v>
      </c>
      <c r="G48" s="5" t="s">
        <v>222</v>
      </c>
      <c r="I48" t="s">
        <v>355</v>
      </c>
      <c r="J48">
        <v>80134102</v>
      </c>
      <c r="K48">
        <v>61071006</v>
      </c>
      <c r="P48" t="s">
        <v>355</v>
      </c>
    </row>
    <row r="49" spans="1:16" x14ac:dyDescent="0.35">
      <c r="A49" t="str">
        <f>_xlfn.XLOOKUP(I49,Sheet3!A:A,Sheet3!B:B)</f>
        <v>CF</v>
      </c>
      <c r="B49">
        <v>27</v>
      </c>
      <c r="C49">
        <f t="shared" si="2"/>
        <v>8</v>
      </c>
      <c r="D49" t="str">
        <f t="shared" si="0"/>
        <v>CF-27-8</v>
      </c>
      <c r="E49" t="s">
        <v>329</v>
      </c>
      <c r="F49" s="5" t="s">
        <v>330</v>
      </c>
      <c r="G49" s="5" t="s">
        <v>221</v>
      </c>
      <c r="I49" t="s">
        <v>355</v>
      </c>
      <c r="J49">
        <v>81134102</v>
      </c>
      <c r="K49">
        <v>61071006</v>
      </c>
      <c r="P49" t="s">
        <v>355</v>
      </c>
    </row>
    <row r="50" spans="1:16" x14ac:dyDescent="0.35">
      <c r="A50" t="str">
        <f>_xlfn.XLOOKUP(I50,Sheet3!A:A,Sheet3!B:B)</f>
        <v>CF</v>
      </c>
      <c r="B50">
        <v>27</v>
      </c>
      <c r="C50">
        <f t="shared" si="2"/>
        <v>9</v>
      </c>
      <c r="D50" t="str">
        <f t="shared" si="0"/>
        <v>CF-27-9</v>
      </c>
      <c r="E50" t="s">
        <v>329</v>
      </c>
      <c r="F50" s="5" t="s">
        <v>330</v>
      </c>
      <c r="G50" s="5" t="s">
        <v>223</v>
      </c>
      <c r="I50" t="s">
        <v>355</v>
      </c>
      <c r="J50">
        <v>90134102</v>
      </c>
      <c r="K50">
        <v>61071006</v>
      </c>
      <c r="P50" t="s">
        <v>355</v>
      </c>
    </row>
    <row r="51" spans="1:16" ht="29" x14ac:dyDescent="0.35">
      <c r="A51" t="str">
        <f>_xlfn.XLOOKUP(I51,Sheet3!A:A,Sheet3!B:B)</f>
        <v>CF</v>
      </c>
      <c r="B51">
        <v>27</v>
      </c>
      <c r="C51">
        <f t="shared" si="2"/>
        <v>10</v>
      </c>
      <c r="D51" t="str">
        <f t="shared" si="0"/>
        <v>CF-27-10</v>
      </c>
      <c r="E51" t="s">
        <v>329</v>
      </c>
      <c r="F51" s="5" t="s">
        <v>331</v>
      </c>
      <c r="I51" t="s">
        <v>355</v>
      </c>
      <c r="J51">
        <v>90134102</v>
      </c>
      <c r="K51">
        <v>52071104</v>
      </c>
      <c r="P51" t="s">
        <v>355</v>
      </c>
    </row>
    <row r="52" spans="1:16" x14ac:dyDescent="0.35">
      <c r="A52" t="str">
        <f>_xlfn.XLOOKUP(I52,Sheet3!A:A,Sheet3!B:B)</f>
        <v>CF</v>
      </c>
      <c r="B52">
        <v>27</v>
      </c>
      <c r="C52">
        <f t="shared" si="2"/>
        <v>11</v>
      </c>
      <c r="D52" t="str">
        <f t="shared" si="0"/>
        <v>CF-27-11</v>
      </c>
      <c r="E52" t="s">
        <v>275</v>
      </c>
      <c r="F52" s="5" t="s">
        <v>276</v>
      </c>
      <c r="I52" t="s">
        <v>355</v>
      </c>
      <c r="J52">
        <v>90111101</v>
      </c>
      <c r="K52">
        <v>61101106</v>
      </c>
      <c r="P52" t="s">
        <v>355</v>
      </c>
    </row>
    <row r="53" spans="1:16" x14ac:dyDescent="0.35">
      <c r="A53" t="str">
        <f>_xlfn.XLOOKUP(I53,Sheet3!A:A,Sheet3!B:B)</f>
        <v>CF</v>
      </c>
      <c r="B53">
        <v>27</v>
      </c>
      <c r="C53">
        <f t="shared" si="2"/>
        <v>12</v>
      </c>
      <c r="D53" t="str">
        <f t="shared" si="0"/>
        <v>CF-27-12</v>
      </c>
      <c r="E53" t="s">
        <v>275</v>
      </c>
      <c r="F53" s="5" t="s">
        <v>277</v>
      </c>
      <c r="I53" t="s">
        <v>355</v>
      </c>
      <c r="J53">
        <v>90111101</v>
      </c>
      <c r="K53">
        <v>52101107</v>
      </c>
      <c r="P53" t="s">
        <v>355</v>
      </c>
    </row>
    <row r="54" spans="1:16" x14ac:dyDescent="0.35">
      <c r="A54" t="str">
        <f>_xlfn.XLOOKUP(I54,Sheet3!A:A,Sheet3!B:B)</f>
        <v>CF</v>
      </c>
      <c r="B54">
        <v>27</v>
      </c>
      <c r="C54">
        <f t="shared" si="2"/>
        <v>13</v>
      </c>
      <c r="D54" t="str">
        <f t="shared" si="0"/>
        <v>CF-27-13</v>
      </c>
      <c r="E54" t="s">
        <v>275</v>
      </c>
      <c r="F54" s="5" t="s">
        <v>273</v>
      </c>
      <c r="G54" s="5" t="s">
        <v>222</v>
      </c>
      <c r="I54" t="s">
        <v>355</v>
      </c>
      <c r="J54">
        <v>80111101</v>
      </c>
      <c r="K54">
        <v>52101101</v>
      </c>
      <c r="P54" t="s">
        <v>355</v>
      </c>
    </row>
    <row r="55" spans="1:16" x14ac:dyDescent="0.35">
      <c r="A55" t="str">
        <f>_xlfn.XLOOKUP(I55,Sheet3!A:A,Sheet3!B:B)</f>
        <v>CF</v>
      </c>
      <c r="B55">
        <v>27</v>
      </c>
      <c r="C55">
        <f t="shared" si="2"/>
        <v>14</v>
      </c>
      <c r="D55" t="str">
        <f t="shared" si="0"/>
        <v>CF-27-14</v>
      </c>
      <c r="E55" t="s">
        <v>275</v>
      </c>
      <c r="F55" s="5" t="s">
        <v>273</v>
      </c>
      <c r="G55" s="5" t="s">
        <v>221</v>
      </c>
      <c r="I55" t="s">
        <v>355</v>
      </c>
      <c r="J55">
        <v>81111101</v>
      </c>
      <c r="K55">
        <v>52101101</v>
      </c>
      <c r="P55" t="s">
        <v>355</v>
      </c>
    </row>
    <row r="56" spans="1:16" x14ac:dyDescent="0.35">
      <c r="A56" t="str">
        <f>_xlfn.XLOOKUP(I56,Sheet3!A:A,Sheet3!B:B)</f>
        <v>CF</v>
      </c>
      <c r="B56">
        <v>27</v>
      </c>
      <c r="C56">
        <f t="shared" si="2"/>
        <v>15</v>
      </c>
      <c r="D56" t="str">
        <f t="shared" si="0"/>
        <v>CF-27-15</v>
      </c>
      <c r="E56" t="s">
        <v>275</v>
      </c>
      <c r="F56" s="5" t="s">
        <v>274</v>
      </c>
      <c r="G56" s="5" t="s">
        <v>222</v>
      </c>
      <c r="I56" t="s">
        <v>355</v>
      </c>
      <c r="J56">
        <v>80111101</v>
      </c>
      <c r="K56">
        <v>52101105</v>
      </c>
      <c r="P56" t="s">
        <v>355</v>
      </c>
    </row>
    <row r="57" spans="1:16" x14ac:dyDescent="0.35">
      <c r="A57" t="str">
        <f>_xlfn.XLOOKUP(I57,Sheet3!A:A,Sheet3!B:B)</f>
        <v>CF</v>
      </c>
      <c r="B57">
        <v>27</v>
      </c>
      <c r="C57">
        <f t="shared" si="2"/>
        <v>16</v>
      </c>
      <c r="D57" t="str">
        <f t="shared" si="0"/>
        <v>CF-27-16</v>
      </c>
      <c r="E57" t="s">
        <v>275</v>
      </c>
      <c r="F57" s="5" t="s">
        <v>274</v>
      </c>
      <c r="G57" s="5" t="s">
        <v>221</v>
      </c>
      <c r="I57" t="s">
        <v>355</v>
      </c>
      <c r="J57">
        <v>81111101</v>
      </c>
      <c r="K57">
        <v>52101105</v>
      </c>
      <c r="P57" t="s">
        <v>355</v>
      </c>
    </row>
    <row r="58" spans="1:16" x14ac:dyDescent="0.35">
      <c r="A58" t="str">
        <f>_xlfn.XLOOKUP(I58,Sheet3!A:A,Sheet3!B:B)</f>
        <v>CF</v>
      </c>
      <c r="B58">
        <v>27</v>
      </c>
      <c r="C58">
        <f t="shared" si="2"/>
        <v>17</v>
      </c>
      <c r="D58" t="str">
        <f t="shared" si="0"/>
        <v>CF-27-17</v>
      </c>
      <c r="E58" s="5" t="s">
        <v>352</v>
      </c>
      <c r="F58" s="5" t="s">
        <v>351</v>
      </c>
      <c r="I58" t="s">
        <v>355</v>
      </c>
      <c r="J58">
        <v>81111101</v>
      </c>
      <c r="K58">
        <v>61959202</v>
      </c>
      <c r="P58" t="s">
        <v>355</v>
      </c>
    </row>
    <row r="59" spans="1:16" x14ac:dyDescent="0.35">
      <c r="A59" t="str">
        <f>_xlfn.XLOOKUP(I59,Sheet3!A:A,Sheet3!B:B)</f>
        <v>CF</v>
      </c>
      <c r="B59">
        <v>27</v>
      </c>
      <c r="C59">
        <f t="shared" si="2"/>
        <v>18</v>
      </c>
      <c r="D59" t="str">
        <f t="shared" si="0"/>
        <v>CF-27-18</v>
      </c>
      <c r="E59" s="5" t="s">
        <v>352</v>
      </c>
      <c r="F59" s="5" t="s">
        <v>353</v>
      </c>
      <c r="I59" t="s">
        <v>355</v>
      </c>
      <c r="J59">
        <v>81111101</v>
      </c>
      <c r="K59">
        <v>61959202</v>
      </c>
      <c r="P59" t="s">
        <v>355</v>
      </c>
    </row>
    <row r="60" spans="1:16" x14ac:dyDescent="0.35">
      <c r="A60" t="str">
        <f>_xlfn.XLOOKUP(I60,Sheet3!A:A,Sheet3!B:B)</f>
        <v>CF</v>
      </c>
      <c r="B60">
        <v>27</v>
      </c>
      <c r="C60">
        <f t="shared" si="2"/>
        <v>19</v>
      </c>
      <c r="D60" t="str">
        <f t="shared" si="0"/>
        <v>CF-27-19</v>
      </c>
      <c r="E60" t="s">
        <v>267</v>
      </c>
      <c r="F60" s="5" t="s">
        <v>344</v>
      </c>
      <c r="G60" s="5" t="s">
        <v>222</v>
      </c>
      <c r="I60" t="s">
        <v>355</v>
      </c>
      <c r="J60">
        <v>80111101</v>
      </c>
      <c r="K60">
        <v>61021304</v>
      </c>
      <c r="P60" t="s">
        <v>355</v>
      </c>
    </row>
    <row r="61" spans="1:16" x14ac:dyDescent="0.35">
      <c r="A61" t="str">
        <f>_xlfn.XLOOKUP(I61,Sheet3!A:A,Sheet3!B:B)</f>
        <v>CF</v>
      </c>
      <c r="B61">
        <v>27</v>
      </c>
      <c r="C61">
        <f t="shared" si="2"/>
        <v>20</v>
      </c>
      <c r="D61" t="str">
        <f t="shared" si="0"/>
        <v>CF-27-20</v>
      </c>
      <c r="E61" t="s">
        <v>267</v>
      </c>
      <c r="F61" s="5" t="s">
        <v>344</v>
      </c>
      <c r="G61" s="5" t="s">
        <v>221</v>
      </c>
      <c r="I61" t="s">
        <v>355</v>
      </c>
      <c r="J61">
        <v>81111101</v>
      </c>
      <c r="K61">
        <v>52121304</v>
      </c>
      <c r="P61" t="s">
        <v>355</v>
      </c>
    </row>
    <row r="62" spans="1:16" x14ac:dyDescent="0.35">
      <c r="A62" t="str">
        <f>_xlfn.XLOOKUP(I62,Sheet3!A:A,Sheet3!B:B)</f>
        <v>CF</v>
      </c>
      <c r="B62">
        <v>27</v>
      </c>
      <c r="C62">
        <f t="shared" si="2"/>
        <v>21</v>
      </c>
      <c r="D62" t="str">
        <f t="shared" si="0"/>
        <v>CF-27-21</v>
      </c>
      <c r="E62" t="s">
        <v>267</v>
      </c>
      <c r="F62" s="5" t="s">
        <v>344</v>
      </c>
      <c r="G62" s="5" t="s">
        <v>223</v>
      </c>
      <c r="I62" t="s">
        <v>355</v>
      </c>
      <c r="J62">
        <v>90111101</v>
      </c>
      <c r="K62">
        <v>52121304</v>
      </c>
      <c r="P62" t="s">
        <v>355</v>
      </c>
    </row>
    <row r="63" spans="1:16" x14ac:dyDescent="0.35">
      <c r="A63" t="str">
        <f>_xlfn.XLOOKUP(I63,Sheet3!A:A,Sheet3!B:B)</f>
        <v>CF</v>
      </c>
      <c r="B63">
        <v>27</v>
      </c>
      <c r="C63">
        <f t="shared" si="2"/>
        <v>22</v>
      </c>
      <c r="D63" t="str">
        <f t="shared" si="0"/>
        <v>CF-27-22</v>
      </c>
      <c r="E63" t="s">
        <v>249</v>
      </c>
      <c r="F63" t="s">
        <v>374</v>
      </c>
      <c r="G63" t="s">
        <v>221</v>
      </c>
      <c r="H63"/>
      <c r="I63" t="s">
        <v>355</v>
      </c>
      <c r="J63">
        <v>81134102</v>
      </c>
      <c r="K63">
        <v>52031103</v>
      </c>
      <c r="P63" t="s">
        <v>355</v>
      </c>
    </row>
    <row r="64" spans="1:16" x14ac:dyDescent="0.35">
      <c r="A64" t="str">
        <f>_xlfn.XLOOKUP(I64,Sheet3!A:A,Sheet3!B:B)</f>
        <v>CF</v>
      </c>
      <c r="B64">
        <v>27</v>
      </c>
      <c r="C64">
        <f t="shared" si="2"/>
        <v>23</v>
      </c>
      <c r="D64" t="str">
        <f t="shared" si="0"/>
        <v>CF-27-23</v>
      </c>
      <c r="E64" t="s">
        <v>315</v>
      </c>
      <c r="F64" s="5" t="s">
        <v>317</v>
      </c>
      <c r="I64" t="s">
        <v>355</v>
      </c>
      <c r="J64">
        <v>80134102</v>
      </c>
      <c r="K64">
        <v>61711101</v>
      </c>
      <c r="P64" t="s">
        <v>355</v>
      </c>
    </row>
    <row r="65" spans="1:16" x14ac:dyDescent="0.35">
      <c r="A65" t="str">
        <f>_xlfn.XLOOKUP(I65,Sheet3!A:A,Sheet3!B:B)</f>
        <v>CF</v>
      </c>
      <c r="B65">
        <v>27</v>
      </c>
      <c r="C65">
        <f t="shared" si="2"/>
        <v>24</v>
      </c>
      <c r="D65" t="str">
        <f t="shared" si="0"/>
        <v>CF-27-24</v>
      </c>
      <c r="E65" t="s">
        <v>315</v>
      </c>
      <c r="F65" s="5" t="s">
        <v>318</v>
      </c>
      <c r="I65" t="s">
        <v>355</v>
      </c>
      <c r="J65">
        <v>80134102</v>
      </c>
      <c r="K65">
        <v>61711101</v>
      </c>
      <c r="P65" t="s">
        <v>355</v>
      </c>
    </row>
    <row r="66" spans="1:16" x14ac:dyDescent="0.35">
      <c r="A66" t="str">
        <f>_xlfn.XLOOKUP(I66,Sheet3!A:A,Sheet3!B:B)</f>
        <v>CF</v>
      </c>
      <c r="B66">
        <v>27</v>
      </c>
      <c r="C66">
        <f t="shared" si="2"/>
        <v>25</v>
      </c>
      <c r="D66" t="str">
        <f t="shared" si="0"/>
        <v>CF-27-25</v>
      </c>
      <c r="E66" t="s">
        <v>315</v>
      </c>
      <c r="F66" s="5" t="s">
        <v>316</v>
      </c>
      <c r="I66" t="s">
        <v>355</v>
      </c>
      <c r="J66">
        <v>80134102</v>
      </c>
      <c r="K66">
        <v>61711101</v>
      </c>
      <c r="P66" t="s">
        <v>355</v>
      </c>
    </row>
    <row r="67" spans="1:16" x14ac:dyDescent="0.35">
      <c r="A67" t="str">
        <f>_xlfn.XLOOKUP(I67,Sheet3!A:A,Sheet3!B:B)</f>
        <v>CM</v>
      </c>
      <c r="B67">
        <v>27</v>
      </c>
      <c r="C67">
        <v>1</v>
      </c>
      <c r="D67" t="str">
        <f t="shared" ref="D67:D130" si="3">A67&amp;-B67&amp;-C67</f>
        <v>CM-27-1</v>
      </c>
      <c r="E67" t="s">
        <v>246</v>
      </c>
      <c r="F67" s="4" t="s">
        <v>236</v>
      </c>
      <c r="G67" s="4"/>
      <c r="H67" s="4"/>
      <c r="I67" t="s">
        <v>166</v>
      </c>
      <c r="J67">
        <v>81314101</v>
      </c>
      <c r="K67">
        <v>52551201</v>
      </c>
      <c r="P67" t="s">
        <v>166</v>
      </c>
    </row>
    <row r="68" spans="1:16" x14ac:dyDescent="0.35">
      <c r="A68" t="str">
        <f>_xlfn.XLOOKUP(I68,Sheet3!A:A,Sheet3!B:B)</f>
        <v>CM</v>
      </c>
      <c r="B68">
        <v>27</v>
      </c>
      <c r="C68">
        <f t="shared" ref="C68:C75" si="4">C67+1</f>
        <v>2</v>
      </c>
      <c r="D68" t="str">
        <f t="shared" si="3"/>
        <v>CM-27-2</v>
      </c>
      <c r="E68" t="s">
        <v>246</v>
      </c>
      <c r="F68" s="4" t="s">
        <v>238</v>
      </c>
      <c r="G68" s="4"/>
      <c r="H68" s="4"/>
      <c r="I68" t="s">
        <v>166</v>
      </c>
      <c r="J68">
        <v>81314101</v>
      </c>
      <c r="K68">
        <v>52551201</v>
      </c>
      <c r="P68" t="s">
        <v>166</v>
      </c>
    </row>
    <row r="69" spans="1:16" x14ac:dyDescent="0.35">
      <c r="A69" t="str">
        <f>_xlfn.XLOOKUP(I69,Sheet3!A:A,Sheet3!B:B)</f>
        <v>CM</v>
      </c>
      <c r="B69">
        <v>27</v>
      </c>
      <c r="C69">
        <f t="shared" si="4"/>
        <v>3</v>
      </c>
      <c r="D69" t="str">
        <f t="shared" si="3"/>
        <v>CM-27-3</v>
      </c>
      <c r="E69" t="s">
        <v>246</v>
      </c>
      <c r="F69" s="4" t="s">
        <v>237</v>
      </c>
      <c r="G69" s="4"/>
      <c r="H69" s="4"/>
      <c r="I69" t="s">
        <v>166</v>
      </c>
      <c r="J69">
        <v>81314101</v>
      </c>
      <c r="K69">
        <v>52551201</v>
      </c>
      <c r="P69" t="s">
        <v>166</v>
      </c>
    </row>
    <row r="70" spans="1:16" x14ac:dyDescent="0.35">
      <c r="A70" t="str">
        <f>_xlfn.XLOOKUP(I70,Sheet3!A:A,Sheet3!B:B)</f>
        <v>CM</v>
      </c>
      <c r="B70">
        <v>27</v>
      </c>
      <c r="C70">
        <f t="shared" si="4"/>
        <v>4</v>
      </c>
      <c r="D70" t="str">
        <f t="shared" si="3"/>
        <v>CM-27-4</v>
      </c>
      <c r="E70" t="s">
        <v>248</v>
      </c>
      <c r="F70" s="4" t="s">
        <v>241</v>
      </c>
      <c r="G70" s="4"/>
      <c r="H70" s="4"/>
      <c r="I70" t="s">
        <v>166</v>
      </c>
      <c r="J70">
        <v>81314101</v>
      </c>
      <c r="K70">
        <v>52551201</v>
      </c>
      <c r="P70" t="s">
        <v>166</v>
      </c>
    </row>
    <row r="71" spans="1:16" x14ac:dyDescent="0.35">
      <c r="A71" t="str">
        <f>_xlfn.XLOOKUP(I71,Sheet3!A:A,Sheet3!B:B)</f>
        <v>CM</v>
      </c>
      <c r="B71">
        <v>27</v>
      </c>
      <c r="C71">
        <f t="shared" si="4"/>
        <v>5</v>
      </c>
      <c r="D71" t="str">
        <f t="shared" si="3"/>
        <v>CM-27-5</v>
      </c>
      <c r="E71" t="s">
        <v>248</v>
      </c>
      <c r="F71" s="4" t="s">
        <v>245</v>
      </c>
      <c r="G71" s="4"/>
      <c r="H71" s="4"/>
      <c r="I71" t="s">
        <v>166</v>
      </c>
      <c r="J71">
        <v>81314101</v>
      </c>
      <c r="K71">
        <v>52551201</v>
      </c>
      <c r="P71" t="s">
        <v>166</v>
      </c>
    </row>
    <row r="72" spans="1:16" x14ac:dyDescent="0.35">
      <c r="A72" t="str">
        <f>_xlfn.XLOOKUP(I72,Sheet3!A:A,Sheet3!B:B)</f>
        <v>CM</v>
      </c>
      <c r="B72">
        <v>27</v>
      </c>
      <c r="C72">
        <f t="shared" si="4"/>
        <v>6</v>
      </c>
      <c r="D72" t="str">
        <f t="shared" si="3"/>
        <v>CM-27-6</v>
      </c>
      <c r="E72" t="s">
        <v>248</v>
      </c>
      <c r="F72" s="4" t="s">
        <v>244</v>
      </c>
      <c r="G72" s="4"/>
      <c r="H72" s="4"/>
      <c r="I72" t="s">
        <v>166</v>
      </c>
      <c r="J72">
        <v>81314101</v>
      </c>
      <c r="K72">
        <v>52551201</v>
      </c>
      <c r="P72" t="s">
        <v>166</v>
      </c>
    </row>
    <row r="73" spans="1:16" x14ac:dyDescent="0.35">
      <c r="A73" t="str">
        <f>_xlfn.XLOOKUP(I73,Sheet3!A:A,Sheet3!B:B)</f>
        <v>CM</v>
      </c>
      <c r="B73">
        <v>27</v>
      </c>
      <c r="C73">
        <f t="shared" si="4"/>
        <v>7</v>
      </c>
      <c r="D73" t="str">
        <f t="shared" si="3"/>
        <v>CM-27-7</v>
      </c>
      <c r="E73" t="s">
        <v>247</v>
      </c>
      <c r="F73" s="4" t="s">
        <v>242</v>
      </c>
      <c r="G73" s="4"/>
      <c r="H73" s="4"/>
      <c r="I73" t="s">
        <v>166</v>
      </c>
      <c r="J73">
        <v>81314101</v>
      </c>
      <c r="K73">
        <v>52551201</v>
      </c>
      <c r="P73" t="s">
        <v>166</v>
      </c>
    </row>
    <row r="74" spans="1:16" x14ac:dyDescent="0.35">
      <c r="A74" t="str">
        <f>_xlfn.XLOOKUP(I74,Sheet3!A:A,Sheet3!B:B)</f>
        <v>CM</v>
      </c>
      <c r="B74">
        <v>27</v>
      </c>
      <c r="C74">
        <f t="shared" si="4"/>
        <v>8</v>
      </c>
      <c r="D74" t="str">
        <f t="shared" si="3"/>
        <v>CM-27-8</v>
      </c>
      <c r="E74" t="s">
        <v>247</v>
      </c>
      <c r="F74" s="4" t="s">
        <v>243</v>
      </c>
      <c r="G74" s="4"/>
      <c r="H74" s="4"/>
      <c r="I74" t="s">
        <v>166</v>
      </c>
      <c r="J74">
        <v>81314101</v>
      </c>
      <c r="K74">
        <v>52551201</v>
      </c>
      <c r="P74" t="s">
        <v>166</v>
      </c>
    </row>
    <row r="75" spans="1:16" x14ac:dyDescent="0.35">
      <c r="A75" t="str">
        <f>_xlfn.XLOOKUP(I75,Sheet3!A:A,Sheet3!B:B)</f>
        <v>CM</v>
      </c>
      <c r="B75">
        <v>27</v>
      </c>
      <c r="C75">
        <f t="shared" si="4"/>
        <v>9</v>
      </c>
      <c r="D75" t="str">
        <f t="shared" si="3"/>
        <v>CM-27-9</v>
      </c>
      <c r="E75" t="s">
        <v>247</v>
      </c>
      <c r="F75" s="4" t="s">
        <v>239</v>
      </c>
      <c r="G75" s="4"/>
      <c r="H75" s="4"/>
      <c r="I75" t="s">
        <v>166</v>
      </c>
      <c r="J75">
        <v>81314101</v>
      </c>
      <c r="K75">
        <v>52551201</v>
      </c>
      <c r="P75" t="s">
        <v>166</v>
      </c>
    </row>
    <row r="76" spans="1:16" x14ac:dyDescent="0.35">
      <c r="A76" t="str">
        <f>_xlfn.XLOOKUP(I76,Sheet3!A:A,Sheet3!B:B)</f>
        <v>EA</v>
      </c>
      <c r="B76">
        <v>27</v>
      </c>
      <c r="C76">
        <v>1</v>
      </c>
      <c r="D76" t="str">
        <f t="shared" si="3"/>
        <v>EA-27-1</v>
      </c>
      <c r="E76" t="s">
        <v>358</v>
      </c>
      <c r="F76" s="5" t="s">
        <v>359</v>
      </c>
      <c r="G76" s="5" t="s">
        <v>222</v>
      </c>
      <c r="I76" t="s">
        <v>357</v>
      </c>
      <c r="J76">
        <v>80125101</v>
      </c>
      <c r="K76">
        <v>61959102</v>
      </c>
    </row>
    <row r="77" spans="1:16" x14ac:dyDescent="0.35">
      <c r="A77" t="str">
        <f>_xlfn.XLOOKUP(I77,Sheet3!A:A,Sheet3!B:B)</f>
        <v>EA</v>
      </c>
      <c r="B77">
        <v>27</v>
      </c>
      <c r="C77">
        <f t="shared" ref="C77:C82" si="5">C76+1</f>
        <v>2</v>
      </c>
      <c r="D77" t="str">
        <f t="shared" si="3"/>
        <v>EA-27-2</v>
      </c>
      <c r="E77" t="s">
        <v>358</v>
      </c>
      <c r="F77" s="5" t="s">
        <v>359</v>
      </c>
      <c r="G77" s="5" t="s">
        <v>221</v>
      </c>
      <c r="I77" t="s">
        <v>357</v>
      </c>
      <c r="J77">
        <v>81125101</v>
      </c>
      <c r="K77">
        <v>52959903</v>
      </c>
    </row>
    <row r="78" spans="1:16" x14ac:dyDescent="0.35">
      <c r="A78" t="str">
        <f>_xlfn.XLOOKUP(I78,Sheet3!A:A,Sheet3!B:B)</f>
        <v>EA</v>
      </c>
      <c r="B78">
        <v>27</v>
      </c>
      <c r="C78">
        <f t="shared" si="5"/>
        <v>3</v>
      </c>
      <c r="D78" t="str">
        <f t="shared" si="3"/>
        <v>EA-27-3</v>
      </c>
      <c r="E78" t="s">
        <v>358</v>
      </c>
      <c r="F78" s="5" t="s">
        <v>359</v>
      </c>
      <c r="G78" s="5" t="s">
        <v>223</v>
      </c>
      <c r="I78" t="s">
        <v>357</v>
      </c>
      <c r="J78">
        <v>90125101</v>
      </c>
      <c r="K78">
        <v>61959102</v>
      </c>
    </row>
    <row r="79" spans="1:16" ht="43.5" x14ac:dyDescent="0.35">
      <c r="A79" t="str">
        <f>_xlfn.XLOOKUP(I79,Sheet3!A:A,Sheet3!B:B)</f>
        <v>EA</v>
      </c>
      <c r="B79">
        <v>27</v>
      </c>
      <c r="C79">
        <f t="shared" si="5"/>
        <v>4</v>
      </c>
      <c r="D79" t="str">
        <f t="shared" si="3"/>
        <v>EA-27-4</v>
      </c>
      <c r="E79" t="s">
        <v>358</v>
      </c>
      <c r="F79" s="5" t="s">
        <v>360</v>
      </c>
      <c r="I79" t="s">
        <v>357</v>
      </c>
      <c r="J79">
        <v>80125101</v>
      </c>
      <c r="K79">
        <v>61959102</v>
      </c>
      <c r="P79" t="s">
        <v>357</v>
      </c>
    </row>
    <row r="80" spans="1:16" x14ac:dyDescent="0.35">
      <c r="A80" t="str">
        <f>_xlfn.XLOOKUP(I80,Sheet3!A:A,Sheet3!B:B)</f>
        <v>EA</v>
      </c>
      <c r="B80">
        <v>27</v>
      </c>
      <c r="C80">
        <f t="shared" si="5"/>
        <v>5</v>
      </c>
      <c r="D80" t="str">
        <f t="shared" si="3"/>
        <v>EA-27-5</v>
      </c>
      <c r="E80" t="s">
        <v>291</v>
      </c>
      <c r="F80" s="5" t="s">
        <v>361</v>
      </c>
      <c r="G80" s="5" t="s">
        <v>222</v>
      </c>
      <c r="I80" t="s">
        <v>357</v>
      </c>
      <c r="J80">
        <v>80125101</v>
      </c>
      <c r="K80">
        <v>61091101</v>
      </c>
    </row>
    <row r="81" spans="1:16" x14ac:dyDescent="0.35">
      <c r="A81" t="str">
        <f>_xlfn.XLOOKUP(I81,Sheet3!A:A,Sheet3!B:B)</f>
        <v>EA</v>
      </c>
      <c r="B81">
        <v>27</v>
      </c>
      <c r="C81">
        <f t="shared" si="5"/>
        <v>6</v>
      </c>
      <c r="D81" t="str">
        <f t="shared" si="3"/>
        <v>EA-27-6</v>
      </c>
      <c r="E81" t="s">
        <v>291</v>
      </c>
      <c r="F81" s="5" t="s">
        <v>361</v>
      </c>
      <c r="G81" s="5" t="s">
        <v>221</v>
      </c>
      <c r="I81" t="s">
        <v>357</v>
      </c>
      <c r="J81">
        <v>81125101</v>
      </c>
      <c r="K81">
        <v>52091101</v>
      </c>
    </row>
    <row r="82" spans="1:16" x14ac:dyDescent="0.35">
      <c r="A82" t="str">
        <f>_xlfn.XLOOKUP(I82,Sheet3!A:A,Sheet3!B:B)</f>
        <v>EA</v>
      </c>
      <c r="B82">
        <v>27</v>
      </c>
      <c r="C82">
        <f t="shared" si="5"/>
        <v>7</v>
      </c>
      <c r="D82" t="str">
        <f t="shared" si="3"/>
        <v>EA-27-7</v>
      </c>
      <c r="E82" t="s">
        <v>291</v>
      </c>
      <c r="F82" s="5" t="s">
        <v>361</v>
      </c>
      <c r="G82" s="5" t="s">
        <v>223</v>
      </c>
      <c r="I82" t="s">
        <v>357</v>
      </c>
      <c r="J82">
        <v>90125101</v>
      </c>
      <c r="K82">
        <v>61091101</v>
      </c>
    </row>
    <row r="83" spans="1:16" x14ac:dyDescent="0.35">
      <c r="A83" t="str">
        <f>_xlfn.XLOOKUP(I83,Sheet3!A:A,Sheet3!B:B)</f>
        <v>HR</v>
      </c>
      <c r="B83">
        <v>27</v>
      </c>
      <c r="C83">
        <v>1</v>
      </c>
      <c r="D83" t="str">
        <f t="shared" si="3"/>
        <v>HR-27-1</v>
      </c>
      <c r="E83" t="s">
        <v>217</v>
      </c>
      <c r="F83" s="4" t="s">
        <v>96</v>
      </c>
      <c r="G83" s="4"/>
      <c r="H83" s="4"/>
      <c r="I83" t="s">
        <v>85</v>
      </c>
      <c r="J83">
        <v>81122101</v>
      </c>
      <c r="K83">
        <v>52121401</v>
      </c>
      <c r="P83" t="s">
        <v>85</v>
      </c>
    </row>
    <row r="84" spans="1:16" x14ac:dyDescent="0.35">
      <c r="A84" t="str">
        <f>_xlfn.XLOOKUP(I84,Sheet3!A:A,Sheet3!B:B)</f>
        <v>HR</v>
      </c>
      <c r="B84">
        <v>27</v>
      </c>
      <c r="C84">
        <f>C83+1</f>
        <v>2</v>
      </c>
      <c r="D84" t="str">
        <f t="shared" si="3"/>
        <v>HR-27-2</v>
      </c>
      <c r="E84" t="s">
        <v>217</v>
      </c>
      <c r="F84" s="4" t="s">
        <v>107</v>
      </c>
      <c r="G84" s="4"/>
      <c r="H84" s="4"/>
      <c r="I84" t="s">
        <v>85</v>
      </c>
      <c r="J84">
        <v>81122101</v>
      </c>
      <c r="K84">
        <v>52121401</v>
      </c>
      <c r="P84" t="s">
        <v>85</v>
      </c>
    </row>
    <row r="85" spans="1:16" x14ac:dyDescent="0.35">
      <c r="A85" t="str">
        <f>_xlfn.XLOOKUP(I85,Sheet3!A:A,Sheet3!B:B)</f>
        <v>HR</v>
      </c>
      <c r="B85">
        <v>27</v>
      </c>
      <c r="C85">
        <f t="shared" ref="C85:C148" si="6">C84+1</f>
        <v>3</v>
      </c>
      <c r="D85" t="str">
        <f t="shared" si="3"/>
        <v>HR-27-3</v>
      </c>
      <c r="E85" t="s">
        <v>217</v>
      </c>
      <c r="F85" s="4" t="s">
        <v>101</v>
      </c>
      <c r="G85" s="4"/>
      <c r="H85" s="4"/>
      <c r="I85" t="s">
        <v>85</v>
      </c>
      <c r="J85">
        <v>81122101</v>
      </c>
      <c r="K85">
        <v>52121401</v>
      </c>
      <c r="P85" t="s">
        <v>85</v>
      </c>
    </row>
    <row r="86" spans="1:16" x14ac:dyDescent="0.35">
      <c r="A86" t="str">
        <f>_xlfn.XLOOKUP(I86,Sheet3!A:A,Sheet3!B:B)</f>
        <v>HR</v>
      </c>
      <c r="B86">
        <v>27</v>
      </c>
      <c r="C86">
        <f t="shared" si="6"/>
        <v>4</v>
      </c>
      <c r="D86" t="str">
        <f t="shared" si="3"/>
        <v>HR-27-4</v>
      </c>
      <c r="E86" t="s">
        <v>217</v>
      </c>
      <c r="F86" s="4" t="s">
        <v>99</v>
      </c>
      <c r="G86" s="4"/>
      <c r="H86" s="4"/>
      <c r="I86" t="s">
        <v>85</v>
      </c>
      <c r="J86">
        <v>81122101</v>
      </c>
      <c r="K86">
        <v>52121401</v>
      </c>
      <c r="P86" t="s">
        <v>85</v>
      </c>
    </row>
    <row r="87" spans="1:16" x14ac:dyDescent="0.35">
      <c r="A87" t="str">
        <f>_xlfn.XLOOKUP(I87,Sheet3!A:A,Sheet3!B:B)</f>
        <v>HR</v>
      </c>
      <c r="B87">
        <v>27</v>
      </c>
      <c r="C87">
        <f t="shared" si="6"/>
        <v>5</v>
      </c>
      <c r="D87" t="str">
        <f t="shared" si="3"/>
        <v>HR-27-5</v>
      </c>
      <c r="E87" t="s">
        <v>217</v>
      </c>
      <c r="F87" s="4" t="s">
        <v>94</v>
      </c>
      <c r="G87" s="4"/>
      <c r="H87" s="4"/>
      <c r="I87" t="s">
        <v>85</v>
      </c>
      <c r="J87">
        <v>81122101</v>
      </c>
      <c r="K87">
        <v>52121401</v>
      </c>
      <c r="P87" t="s">
        <v>85</v>
      </c>
    </row>
    <row r="88" spans="1:16" x14ac:dyDescent="0.35">
      <c r="A88" t="str">
        <f>_xlfn.XLOOKUP(I88,Sheet3!A:A,Sheet3!B:B)</f>
        <v>HR</v>
      </c>
      <c r="B88">
        <v>27</v>
      </c>
      <c r="C88">
        <f t="shared" si="6"/>
        <v>6</v>
      </c>
      <c r="D88" t="str">
        <f t="shared" si="3"/>
        <v>HR-27-6</v>
      </c>
      <c r="E88" t="s">
        <v>217</v>
      </c>
      <c r="F88" s="4" t="s">
        <v>106</v>
      </c>
      <c r="G88" s="4"/>
      <c r="H88" s="4"/>
      <c r="I88" t="s">
        <v>85</v>
      </c>
      <c r="J88">
        <v>81122101</v>
      </c>
      <c r="K88">
        <v>52121401</v>
      </c>
      <c r="P88" t="s">
        <v>85</v>
      </c>
    </row>
    <row r="89" spans="1:16" x14ac:dyDescent="0.35">
      <c r="A89" t="str">
        <f>_xlfn.XLOOKUP(I89,Sheet3!A:A,Sheet3!B:B)</f>
        <v>HR</v>
      </c>
      <c r="B89">
        <v>27</v>
      </c>
      <c r="C89">
        <f t="shared" si="6"/>
        <v>7</v>
      </c>
      <c r="D89" t="str">
        <f t="shared" si="3"/>
        <v>HR-27-7</v>
      </c>
      <c r="E89" t="s">
        <v>217</v>
      </c>
      <c r="F89" s="4" t="s">
        <v>108</v>
      </c>
      <c r="G89" s="4"/>
      <c r="H89" s="4"/>
      <c r="I89" t="s">
        <v>85</v>
      </c>
      <c r="J89">
        <v>81122101</v>
      </c>
      <c r="K89">
        <v>52121401</v>
      </c>
      <c r="P89" t="s">
        <v>85</v>
      </c>
    </row>
    <row r="90" spans="1:16" x14ac:dyDescent="0.35">
      <c r="A90" t="str">
        <f>_xlfn.XLOOKUP(I90,Sheet3!A:A,Sheet3!B:B)</f>
        <v>HR</v>
      </c>
      <c r="B90">
        <v>27</v>
      </c>
      <c r="C90">
        <f t="shared" si="6"/>
        <v>8</v>
      </c>
      <c r="D90" t="str">
        <f t="shared" si="3"/>
        <v>HR-27-8</v>
      </c>
      <c r="E90" t="s">
        <v>217</v>
      </c>
      <c r="F90" s="4" t="s">
        <v>104</v>
      </c>
      <c r="G90" s="4"/>
      <c r="H90" s="4"/>
      <c r="I90" t="s">
        <v>85</v>
      </c>
      <c r="J90">
        <v>81122101</v>
      </c>
      <c r="K90">
        <v>52121401</v>
      </c>
      <c r="P90" t="s">
        <v>85</v>
      </c>
    </row>
    <row r="91" spans="1:16" x14ac:dyDescent="0.35">
      <c r="A91" t="str">
        <f>_xlfn.XLOOKUP(I91,Sheet3!A:A,Sheet3!B:B)</f>
        <v>HR</v>
      </c>
      <c r="B91">
        <v>27</v>
      </c>
      <c r="C91">
        <f t="shared" si="6"/>
        <v>9</v>
      </c>
      <c r="D91" t="str">
        <f t="shared" si="3"/>
        <v>HR-27-9</v>
      </c>
      <c r="E91" t="s">
        <v>217</v>
      </c>
      <c r="F91" t="s">
        <v>439</v>
      </c>
      <c r="G91"/>
      <c r="H91"/>
      <c r="I91" t="s">
        <v>85</v>
      </c>
      <c r="J91">
        <v>81122101</v>
      </c>
      <c r="K91">
        <v>52121401</v>
      </c>
      <c r="P91" t="s">
        <v>85</v>
      </c>
    </row>
    <row r="92" spans="1:16" x14ac:dyDescent="0.35">
      <c r="A92" t="str">
        <f>_xlfn.XLOOKUP(I92,Sheet3!A:A,Sheet3!B:B)</f>
        <v>HR</v>
      </c>
      <c r="B92">
        <v>27</v>
      </c>
      <c r="C92">
        <f t="shared" si="6"/>
        <v>10</v>
      </c>
      <c r="D92" t="str">
        <f t="shared" si="3"/>
        <v>HR-27-10</v>
      </c>
      <c r="E92" t="s">
        <v>217</v>
      </c>
      <c r="F92" s="4" t="s">
        <v>111</v>
      </c>
      <c r="G92" s="4"/>
      <c r="H92" s="4"/>
      <c r="I92" t="s">
        <v>85</v>
      </c>
      <c r="J92">
        <v>81122101</v>
      </c>
      <c r="K92">
        <v>52121401</v>
      </c>
      <c r="P92" t="s">
        <v>85</v>
      </c>
    </row>
    <row r="93" spans="1:16" x14ac:dyDescent="0.35">
      <c r="A93" t="str">
        <f>_xlfn.XLOOKUP(I93,Sheet3!A:A,Sheet3!B:B)</f>
        <v>HR</v>
      </c>
      <c r="B93">
        <v>27</v>
      </c>
      <c r="C93">
        <f t="shared" si="6"/>
        <v>11</v>
      </c>
      <c r="D93" t="str">
        <f t="shared" si="3"/>
        <v>HR-27-11</v>
      </c>
      <c r="E93" t="s">
        <v>217</v>
      </c>
      <c r="F93" s="4" t="s">
        <v>105</v>
      </c>
      <c r="G93" s="4"/>
      <c r="H93" s="4"/>
      <c r="I93" t="s">
        <v>85</v>
      </c>
      <c r="J93">
        <v>81122101</v>
      </c>
      <c r="K93">
        <v>52121401</v>
      </c>
      <c r="P93" t="s">
        <v>85</v>
      </c>
    </row>
    <row r="94" spans="1:16" x14ac:dyDescent="0.35">
      <c r="A94" t="str">
        <f>_xlfn.XLOOKUP(I94,Sheet3!A:A,Sheet3!B:B)</f>
        <v>HR</v>
      </c>
      <c r="B94">
        <v>27</v>
      </c>
      <c r="C94">
        <f t="shared" si="6"/>
        <v>12</v>
      </c>
      <c r="D94" t="str">
        <f t="shared" si="3"/>
        <v>HR-27-12</v>
      </c>
      <c r="E94" t="s">
        <v>217</v>
      </c>
      <c r="F94" s="4" t="s">
        <v>97</v>
      </c>
      <c r="G94" s="4"/>
      <c r="H94" s="4"/>
      <c r="I94" t="s">
        <v>85</v>
      </c>
      <c r="J94">
        <v>81122101</v>
      </c>
      <c r="K94">
        <v>52121401</v>
      </c>
      <c r="P94" t="s">
        <v>85</v>
      </c>
    </row>
    <row r="95" spans="1:16" x14ac:dyDescent="0.35">
      <c r="A95" t="str">
        <f>_xlfn.XLOOKUP(I95,Sheet3!A:A,Sheet3!B:B)</f>
        <v>HR</v>
      </c>
      <c r="B95">
        <v>27</v>
      </c>
      <c r="C95">
        <f t="shared" si="6"/>
        <v>13</v>
      </c>
      <c r="D95" t="str">
        <f t="shared" si="3"/>
        <v>HR-27-13</v>
      </c>
      <c r="E95" t="s">
        <v>217</v>
      </c>
      <c r="F95" s="4" t="s">
        <v>109</v>
      </c>
      <c r="G95" s="4"/>
      <c r="H95" s="4"/>
      <c r="I95" t="s">
        <v>85</v>
      </c>
      <c r="J95">
        <v>81122101</v>
      </c>
      <c r="K95">
        <v>52121401</v>
      </c>
      <c r="P95" t="s">
        <v>85</v>
      </c>
    </row>
    <row r="96" spans="1:16" x14ac:dyDescent="0.35">
      <c r="A96" t="str">
        <f>_xlfn.XLOOKUP(I96,Sheet3!A:A,Sheet3!B:B)</f>
        <v>HR</v>
      </c>
      <c r="B96">
        <v>27</v>
      </c>
      <c r="C96">
        <f t="shared" si="6"/>
        <v>14</v>
      </c>
      <c r="D96" t="str">
        <f t="shared" si="3"/>
        <v>HR-27-14</v>
      </c>
      <c r="E96" t="s">
        <v>217</v>
      </c>
      <c r="F96" s="4" t="s">
        <v>110</v>
      </c>
      <c r="G96" s="4"/>
      <c r="H96" s="4"/>
      <c r="I96" t="s">
        <v>85</v>
      </c>
      <c r="J96">
        <v>81122101</v>
      </c>
      <c r="K96">
        <v>52121401</v>
      </c>
      <c r="P96" t="s">
        <v>85</v>
      </c>
    </row>
    <row r="97" spans="1:16" x14ac:dyDescent="0.35">
      <c r="A97" t="str">
        <f>_xlfn.XLOOKUP(I97,Sheet3!A:A,Sheet3!B:B)</f>
        <v>HR</v>
      </c>
      <c r="B97">
        <v>27</v>
      </c>
      <c r="C97">
        <f t="shared" si="6"/>
        <v>15</v>
      </c>
      <c r="D97" t="str">
        <f t="shared" si="3"/>
        <v>HR-27-15</v>
      </c>
      <c r="E97" t="s">
        <v>217</v>
      </c>
      <c r="F97" s="4" t="s">
        <v>117</v>
      </c>
      <c r="G97" s="4"/>
      <c r="H97" s="4"/>
      <c r="I97" t="s">
        <v>85</v>
      </c>
      <c r="J97">
        <v>81122101</v>
      </c>
      <c r="K97">
        <v>52121402</v>
      </c>
      <c r="P97" t="s">
        <v>85</v>
      </c>
    </row>
    <row r="98" spans="1:16" x14ac:dyDescent="0.35">
      <c r="A98" t="str">
        <f>_xlfn.XLOOKUP(I98,Sheet3!A:A,Sheet3!B:B)</f>
        <v>HR</v>
      </c>
      <c r="B98">
        <v>27</v>
      </c>
      <c r="C98">
        <f t="shared" si="6"/>
        <v>16</v>
      </c>
      <c r="D98" t="str">
        <f t="shared" si="3"/>
        <v>HR-27-16</v>
      </c>
      <c r="E98" t="s">
        <v>217</v>
      </c>
      <c r="F98" s="4" t="s">
        <v>98</v>
      </c>
      <c r="G98" s="4"/>
      <c r="H98" s="4"/>
      <c r="I98" t="s">
        <v>85</v>
      </c>
      <c r="J98">
        <v>81122101</v>
      </c>
      <c r="K98">
        <v>52121401</v>
      </c>
      <c r="P98" t="s">
        <v>85</v>
      </c>
    </row>
    <row r="99" spans="1:16" x14ac:dyDescent="0.35">
      <c r="A99" t="str">
        <f>_xlfn.XLOOKUP(I99,Sheet3!A:A,Sheet3!B:B)</f>
        <v>HR</v>
      </c>
      <c r="B99">
        <v>27</v>
      </c>
      <c r="C99">
        <f t="shared" si="6"/>
        <v>17</v>
      </c>
      <c r="D99" t="str">
        <f t="shared" si="3"/>
        <v>HR-27-17</v>
      </c>
      <c r="E99" t="s">
        <v>217</v>
      </c>
      <c r="F99" s="4" t="s">
        <v>95</v>
      </c>
      <c r="G99" s="4"/>
      <c r="H99" s="4"/>
      <c r="I99" t="s">
        <v>85</v>
      </c>
      <c r="J99">
        <v>81122101</v>
      </c>
      <c r="K99">
        <v>52121401</v>
      </c>
      <c r="P99" t="s">
        <v>85</v>
      </c>
    </row>
    <row r="100" spans="1:16" x14ac:dyDescent="0.35">
      <c r="A100" t="str">
        <f>_xlfn.XLOOKUP(I100,Sheet3!A:A,Sheet3!B:B)</f>
        <v>HR</v>
      </c>
      <c r="B100">
        <v>27</v>
      </c>
      <c r="C100">
        <f t="shared" si="6"/>
        <v>18</v>
      </c>
      <c r="D100" t="str">
        <f t="shared" si="3"/>
        <v>HR-27-18</v>
      </c>
      <c r="E100" t="s">
        <v>217</v>
      </c>
      <c r="F100" s="4" t="s">
        <v>102</v>
      </c>
      <c r="G100" s="4"/>
      <c r="H100" s="4"/>
      <c r="I100" t="s">
        <v>85</v>
      </c>
      <c r="J100">
        <v>81122101</v>
      </c>
      <c r="K100">
        <v>52121401</v>
      </c>
      <c r="P100" t="s">
        <v>85</v>
      </c>
    </row>
    <row r="101" spans="1:16" x14ac:dyDescent="0.35">
      <c r="A101" t="str">
        <f>_xlfn.XLOOKUP(I101,Sheet3!A:A,Sheet3!B:B)</f>
        <v>HR</v>
      </c>
      <c r="B101">
        <v>27</v>
      </c>
      <c r="C101">
        <f t="shared" si="6"/>
        <v>19</v>
      </c>
      <c r="D101" t="str">
        <f t="shared" si="3"/>
        <v>HR-27-19</v>
      </c>
      <c r="E101" t="s">
        <v>217</v>
      </c>
      <c r="F101" s="4" t="s">
        <v>103</v>
      </c>
      <c r="G101" s="4"/>
      <c r="H101" s="4"/>
      <c r="I101" t="s">
        <v>85</v>
      </c>
      <c r="J101">
        <v>81122101</v>
      </c>
      <c r="K101">
        <v>52121401</v>
      </c>
      <c r="P101" t="s">
        <v>85</v>
      </c>
    </row>
    <row r="102" spans="1:16" x14ac:dyDescent="0.35">
      <c r="A102" t="str">
        <f>_xlfn.XLOOKUP(I102,Sheet3!A:A,Sheet3!B:B)</f>
        <v>HR</v>
      </c>
      <c r="B102">
        <v>27</v>
      </c>
      <c r="C102">
        <f t="shared" si="6"/>
        <v>20</v>
      </c>
      <c r="D102" t="str">
        <f t="shared" si="3"/>
        <v>HR-27-20</v>
      </c>
      <c r="E102" t="s">
        <v>268</v>
      </c>
      <c r="F102" s="4" t="s">
        <v>153</v>
      </c>
      <c r="G102" s="4"/>
      <c r="H102" s="4"/>
      <c r="I102" t="s">
        <v>85</v>
      </c>
      <c r="J102">
        <v>90122101</v>
      </c>
      <c r="K102">
        <v>52041499</v>
      </c>
      <c r="P102" t="s">
        <v>85</v>
      </c>
    </row>
    <row r="103" spans="1:16" x14ac:dyDescent="0.35">
      <c r="A103" t="str">
        <f>_xlfn.XLOOKUP(I103,Sheet3!A:A,Sheet3!B:B)</f>
        <v>HR</v>
      </c>
      <c r="B103">
        <v>27</v>
      </c>
      <c r="C103">
        <f t="shared" si="6"/>
        <v>21</v>
      </c>
      <c r="D103" t="str">
        <f t="shared" si="3"/>
        <v>HR-27-21</v>
      </c>
      <c r="E103" t="s">
        <v>268</v>
      </c>
      <c r="F103" s="4" t="s">
        <v>154</v>
      </c>
      <c r="G103" s="4"/>
      <c r="H103" s="4"/>
      <c r="I103" t="s">
        <v>85</v>
      </c>
      <c r="J103">
        <v>90122101</v>
      </c>
      <c r="K103">
        <v>52041499</v>
      </c>
      <c r="P103" t="s">
        <v>85</v>
      </c>
    </row>
    <row r="104" spans="1:16" x14ac:dyDescent="0.35">
      <c r="A104" t="str">
        <f>_xlfn.XLOOKUP(I104,Sheet3!A:A,Sheet3!B:B)</f>
        <v>HR</v>
      </c>
      <c r="B104">
        <v>27</v>
      </c>
      <c r="C104">
        <f t="shared" si="6"/>
        <v>22</v>
      </c>
      <c r="D104" t="str">
        <f t="shared" si="3"/>
        <v>HR-27-22</v>
      </c>
      <c r="E104" t="s">
        <v>270</v>
      </c>
      <c r="F104" s="4" t="s">
        <v>82</v>
      </c>
      <c r="G104" s="4"/>
      <c r="H104" s="4"/>
      <c r="I104" t="s">
        <v>85</v>
      </c>
      <c r="J104">
        <v>81122101</v>
      </c>
      <c r="K104">
        <v>52121402</v>
      </c>
      <c r="L104" t="s">
        <v>399</v>
      </c>
      <c r="M104" t="s">
        <v>400</v>
      </c>
      <c r="N104" t="s">
        <v>261</v>
      </c>
      <c r="P104" t="s">
        <v>85</v>
      </c>
    </row>
    <row r="105" spans="1:16" x14ac:dyDescent="0.35">
      <c r="A105" t="str">
        <f>_xlfn.XLOOKUP(I105,Sheet3!A:A,Sheet3!B:B)</f>
        <v>HR</v>
      </c>
      <c r="B105">
        <v>27</v>
      </c>
      <c r="C105">
        <f t="shared" si="6"/>
        <v>23</v>
      </c>
      <c r="D105" t="str">
        <f t="shared" si="3"/>
        <v>HR-27-23</v>
      </c>
      <c r="E105" t="s">
        <v>270</v>
      </c>
      <c r="F105" s="4" t="s">
        <v>84</v>
      </c>
      <c r="G105" s="4"/>
      <c r="H105" s="4"/>
      <c r="I105" t="s">
        <v>85</v>
      </c>
      <c r="J105">
        <v>81122101</v>
      </c>
      <c r="K105">
        <v>52121402</v>
      </c>
      <c r="P105" t="s">
        <v>85</v>
      </c>
    </row>
    <row r="106" spans="1:16" x14ac:dyDescent="0.35">
      <c r="A106" t="str">
        <f>_xlfn.XLOOKUP(I106,Sheet3!A:A,Sheet3!B:B)</f>
        <v>HR</v>
      </c>
      <c r="B106">
        <v>27</v>
      </c>
      <c r="C106">
        <f t="shared" si="6"/>
        <v>24</v>
      </c>
      <c r="D106" t="str">
        <f t="shared" si="3"/>
        <v>HR-27-24</v>
      </c>
      <c r="E106" t="s">
        <v>270</v>
      </c>
      <c r="F106" s="4" t="s">
        <v>398</v>
      </c>
      <c r="G106" s="4"/>
      <c r="H106" s="4"/>
      <c r="I106" t="s">
        <v>85</v>
      </c>
      <c r="J106">
        <v>81122101</v>
      </c>
      <c r="K106">
        <v>52121402</v>
      </c>
      <c r="L106" t="s">
        <v>399</v>
      </c>
      <c r="M106" t="s">
        <v>400</v>
      </c>
      <c r="N106" t="s">
        <v>411</v>
      </c>
      <c r="P106" t="s">
        <v>85</v>
      </c>
    </row>
    <row r="107" spans="1:16" x14ac:dyDescent="0.35">
      <c r="A107" t="str">
        <f>_xlfn.XLOOKUP(I107,Sheet3!A:A,Sheet3!B:B)</f>
        <v>HR</v>
      </c>
      <c r="B107">
        <v>27</v>
      </c>
      <c r="C107">
        <f t="shared" si="6"/>
        <v>25</v>
      </c>
      <c r="D107" t="str">
        <f t="shared" si="3"/>
        <v>HR-27-25</v>
      </c>
      <c r="E107" t="s">
        <v>270</v>
      </c>
      <c r="F107" s="4" t="s">
        <v>122</v>
      </c>
      <c r="G107" s="4"/>
      <c r="H107" s="4"/>
      <c r="I107" t="s">
        <v>85</v>
      </c>
      <c r="J107">
        <v>81122101</v>
      </c>
      <c r="K107">
        <v>52121402</v>
      </c>
      <c r="L107" t="s">
        <v>407</v>
      </c>
      <c r="M107" t="s">
        <v>408</v>
      </c>
      <c r="N107" t="s">
        <v>411</v>
      </c>
      <c r="P107" t="s">
        <v>85</v>
      </c>
    </row>
    <row r="108" spans="1:16" x14ac:dyDescent="0.35">
      <c r="A108" t="str">
        <f>_xlfn.XLOOKUP(I108,Sheet3!A:A,Sheet3!B:B)</f>
        <v>HR</v>
      </c>
      <c r="B108">
        <v>27</v>
      </c>
      <c r="C108">
        <f t="shared" si="6"/>
        <v>26</v>
      </c>
      <c r="D108" t="str">
        <f t="shared" si="3"/>
        <v>HR-27-26</v>
      </c>
      <c r="E108" t="s">
        <v>270</v>
      </c>
      <c r="F108" s="4" t="s">
        <v>100</v>
      </c>
      <c r="G108" s="4" t="s">
        <v>223</v>
      </c>
      <c r="H108" s="4"/>
      <c r="I108" t="s">
        <v>85</v>
      </c>
      <c r="J108">
        <v>90122101</v>
      </c>
      <c r="K108">
        <v>52121310</v>
      </c>
      <c r="L108" t="s">
        <v>399</v>
      </c>
      <c r="M108" t="s">
        <v>400</v>
      </c>
      <c r="N108" t="s">
        <v>410</v>
      </c>
      <c r="P108" t="s">
        <v>85</v>
      </c>
    </row>
    <row r="109" spans="1:16" x14ac:dyDescent="0.35">
      <c r="A109" t="str">
        <f>_xlfn.XLOOKUP(I109,Sheet3!A:A,Sheet3!B:B)</f>
        <v>HR</v>
      </c>
      <c r="B109">
        <v>27</v>
      </c>
      <c r="C109">
        <f t="shared" si="6"/>
        <v>27</v>
      </c>
      <c r="D109" t="str">
        <f t="shared" si="3"/>
        <v>HR-27-27</v>
      </c>
      <c r="E109" t="s">
        <v>270</v>
      </c>
      <c r="F109" s="4" t="s">
        <v>100</v>
      </c>
      <c r="G109" s="4" t="s">
        <v>221</v>
      </c>
      <c r="H109" s="4"/>
      <c r="I109" t="s">
        <v>85</v>
      </c>
      <c r="J109">
        <v>81122101</v>
      </c>
      <c r="K109">
        <v>52121310</v>
      </c>
      <c r="L109" t="s">
        <v>399</v>
      </c>
      <c r="M109" t="s">
        <v>400</v>
      </c>
      <c r="N109" t="s">
        <v>410</v>
      </c>
      <c r="P109" t="s">
        <v>85</v>
      </c>
    </row>
    <row r="110" spans="1:16" x14ac:dyDescent="0.35">
      <c r="A110" t="str">
        <f>_xlfn.XLOOKUP(I110,Sheet3!A:A,Sheet3!B:B)</f>
        <v>HR</v>
      </c>
      <c r="B110">
        <v>27</v>
      </c>
      <c r="C110">
        <f t="shared" si="6"/>
        <v>28</v>
      </c>
      <c r="D110" t="str">
        <f t="shared" si="3"/>
        <v>HR-27-28</v>
      </c>
      <c r="E110" t="s">
        <v>270</v>
      </c>
      <c r="F110" s="4" t="s">
        <v>100</v>
      </c>
      <c r="G110" s="4" t="s">
        <v>222</v>
      </c>
      <c r="H110" s="4"/>
      <c r="I110" t="s">
        <v>85</v>
      </c>
      <c r="J110">
        <v>80122101</v>
      </c>
      <c r="K110">
        <v>61021311</v>
      </c>
      <c r="L110" t="s">
        <v>399</v>
      </c>
      <c r="M110" t="s">
        <v>400</v>
      </c>
      <c r="N110" t="s">
        <v>410</v>
      </c>
      <c r="P110" t="s">
        <v>85</v>
      </c>
    </row>
    <row r="111" spans="1:16" x14ac:dyDescent="0.35">
      <c r="A111" t="str">
        <f>_xlfn.XLOOKUP(I111,Sheet3!A:A,Sheet3!B:B)</f>
        <v>HR</v>
      </c>
      <c r="B111">
        <v>27</v>
      </c>
      <c r="C111">
        <f t="shared" si="6"/>
        <v>29</v>
      </c>
      <c r="D111" t="str">
        <f t="shared" si="3"/>
        <v>HR-27-29</v>
      </c>
      <c r="E111" t="s">
        <v>270</v>
      </c>
      <c r="F111" t="s">
        <v>412</v>
      </c>
      <c r="G111"/>
      <c r="H111"/>
      <c r="I111" t="s">
        <v>85</v>
      </c>
      <c r="J111">
        <v>81122101</v>
      </c>
      <c r="K111">
        <v>52121402</v>
      </c>
      <c r="L111" t="s">
        <v>403</v>
      </c>
      <c r="M111" t="s">
        <v>404</v>
      </c>
      <c r="N111" t="s">
        <v>261</v>
      </c>
      <c r="P111" t="s">
        <v>85</v>
      </c>
    </row>
    <row r="112" spans="1:16" x14ac:dyDescent="0.35">
      <c r="A112" t="str">
        <f>_xlfn.XLOOKUP(I112,Sheet3!A:A,Sheet3!B:B)</f>
        <v>HR</v>
      </c>
      <c r="B112">
        <v>27</v>
      </c>
      <c r="C112">
        <f t="shared" si="6"/>
        <v>30</v>
      </c>
      <c r="D112" t="str">
        <f t="shared" si="3"/>
        <v>HR-27-30</v>
      </c>
      <c r="E112" t="s">
        <v>270</v>
      </c>
      <c r="F112" s="4" t="s">
        <v>391</v>
      </c>
      <c r="G112" s="4"/>
      <c r="H112" s="4"/>
      <c r="I112" t="s">
        <v>85</v>
      </c>
      <c r="J112">
        <v>81122101</v>
      </c>
      <c r="K112">
        <v>52121402</v>
      </c>
      <c r="L112" t="s">
        <v>392</v>
      </c>
      <c r="M112" t="s">
        <v>393</v>
      </c>
      <c r="N112" t="s">
        <v>261</v>
      </c>
      <c r="P112" t="s">
        <v>85</v>
      </c>
    </row>
    <row r="113" spans="1:16" x14ac:dyDescent="0.35">
      <c r="A113" t="str">
        <f>_xlfn.XLOOKUP(I113,Sheet3!A:A,Sheet3!B:B)</f>
        <v>HR</v>
      </c>
      <c r="B113">
        <v>27</v>
      </c>
      <c r="C113">
        <f t="shared" si="6"/>
        <v>31</v>
      </c>
      <c r="D113" t="str">
        <f t="shared" si="3"/>
        <v>HR-27-31</v>
      </c>
      <c r="E113" t="s">
        <v>270</v>
      </c>
      <c r="F113" s="4" t="s">
        <v>135</v>
      </c>
      <c r="G113" s="4"/>
      <c r="H113" s="4"/>
      <c r="I113" t="s">
        <v>85</v>
      </c>
      <c r="J113">
        <v>81122101</v>
      </c>
      <c r="K113">
        <v>52121315</v>
      </c>
      <c r="L113" t="s">
        <v>389</v>
      </c>
      <c r="M113" t="s">
        <v>390</v>
      </c>
      <c r="N113" t="s">
        <v>261</v>
      </c>
      <c r="P113" t="s">
        <v>85</v>
      </c>
    </row>
    <row r="114" spans="1:16" x14ac:dyDescent="0.35">
      <c r="A114" t="str">
        <f>_xlfn.XLOOKUP(I114,Sheet3!A:A,Sheet3!B:B)</f>
        <v>HR</v>
      </c>
      <c r="B114">
        <v>27</v>
      </c>
      <c r="C114">
        <f t="shared" si="6"/>
        <v>32</v>
      </c>
      <c r="D114" t="str">
        <f t="shared" si="3"/>
        <v>HR-27-32</v>
      </c>
      <c r="E114" t="s">
        <v>270</v>
      </c>
      <c r="F114" s="4" t="s">
        <v>112</v>
      </c>
      <c r="G114" s="4"/>
      <c r="H114" s="4"/>
      <c r="I114" t="s">
        <v>85</v>
      </c>
      <c r="J114">
        <v>81122101</v>
      </c>
      <c r="K114">
        <v>52121402</v>
      </c>
      <c r="L114" t="s">
        <v>399</v>
      </c>
      <c r="M114" t="s">
        <v>400</v>
      </c>
      <c r="N114" t="s">
        <v>261</v>
      </c>
      <c r="P114" t="s">
        <v>85</v>
      </c>
    </row>
    <row r="115" spans="1:16" x14ac:dyDescent="0.35">
      <c r="A115" t="str">
        <f>_xlfn.XLOOKUP(I115,Sheet3!A:A,Sheet3!B:B)</f>
        <v>HR</v>
      </c>
      <c r="B115">
        <v>27</v>
      </c>
      <c r="C115">
        <f t="shared" si="6"/>
        <v>33</v>
      </c>
      <c r="D115" t="str">
        <f t="shared" si="3"/>
        <v>HR-27-33</v>
      </c>
      <c r="E115" t="s">
        <v>270</v>
      </c>
      <c r="F115" s="4" t="s">
        <v>119</v>
      </c>
      <c r="G115" s="4"/>
      <c r="H115" s="4"/>
      <c r="I115" t="s">
        <v>85</v>
      </c>
      <c r="J115">
        <v>81122101</v>
      </c>
      <c r="K115">
        <v>52121402</v>
      </c>
      <c r="L115" t="s">
        <v>405</v>
      </c>
      <c r="M115" t="s">
        <v>406</v>
      </c>
      <c r="N115" t="s">
        <v>411</v>
      </c>
      <c r="P115" t="s">
        <v>85</v>
      </c>
    </row>
    <row r="116" spans="1:16" x14ac:dyDescent="0.35">
      <c r="A116" t="str">
        <f>_xlfn.XLOOKUP(I116,Sheet3!A:A,Sheet3!B:B)</f>
        <v>HR</v>
      </c>
      <c r="B116">
        <v>27</v>
      </c>
      <c r="C116">
        <f t="shared" si="6"/>
        <v>34</v>
      </c>
      <c r="D116" t="str">
        <f t="shared" si="3"/>
        <v>HR-27-34</v>
      </c>
      <c r="E116" t="s">
        <v>270</v>
      </c>
      <c r="F116" s="4" t="s">
        <v>120</v>
      </c>
      <c r="G116" s="4"/>
      <c r="H116" s="4"/>
      <c r="I116" t="s">
        <v>85</v>
      </c>
      <c r="J116">
        <v>81122101</v>
      </c>
      <c r="K116">
        <v>52121402</v>
      </c>
      <c r="M116" t="s">
        <v>251</v>
      </c>
      <c r="P116" t="s">
        <v>85</v>
      </c>
    </row>
    <row r="117" spans="1:16" x14ac:dyDescent="0.35">
      <c r="A117" t="str">
        <f>_xlfn.XLOOKUP(I117,Sheet3!A:A,Sheet3!B:B)</f>
        <v>HR</v>
      </c>
      <c r="B117">
        <v>27</v>
      </c>
      <c r="C117">
        <f t="shared" si="6"/>
        <v>35</v>
      </c>
      <c r="D117" t="str">
        <f t="shared" si="3"/>
        <v>HR-27-35</v>
      </c>
      <c r="E117" t="s">
        <v>270</v>
      </c>
      <c r="F117" s="4" t="s">
        <v>121</v>
      </c>
      <c r="G117" s="4"/>
      <c r="H117" s="4"/>
      <c r="I117" t="s">
        <v>85</v>
      </c>
      <c r="J117">
        <v>81122101</v>
      </c>
      <c r="K117">
        <v>52121402</v>
      </c>
      <c r="P117" t="s">
        <v>85</v>
      </c>
    </row>
    <row r="118" spans="1:16" x14ac:dyDescent="0.35">
      <c r="A118" t="str">
        <f>_xlfn.XLOOKUP(I118,Sheet3!A:A,Sheet3!B:B)</f>
        <v>HR</v>
      </c>
      <c r="B118">
        <v>27</v>
      </c>
      <c r="C118">
        <f t="shared" si="6"/>
        <v>36</v>
      </c>
      <c r="D118" t="str">
        <f t="shared" si="3"/>
        <v>HR-27-36</v>
      </c>
      <c r="E118" t="s">
        <v>270</v>
      </c>
      <c r="F118" s="4" t="s">
        <v>79</v>
      </c>
      <c r="G118" s="4"/>
      <c r="H118" s="4"/>
      <c r="I118" t="s">
        <v>85</v>
      </c>
      <c r="J118">
        <v>81122101</v>
      </c>
      <c r="K118">
        <v>52121402</v>
      </c>
      <c r="P118" t="s">
        <v>85</v>
      </c>
    </row>
    <row r="119" spans="1:16" x14ac:dyDescent="0.35">
      <c r="A119" t="str">
        <f>_xlfn.XLOOKUP(I119,Sheet3!A:A,Sheet3!B:B)</f>
        <v>HR</v>
      </c>
      <c r="B119">
        <v>27</v>
      </c>
      <c r="C119">
        <f t="shared" si="6"/>
        <v>37</v>
      </c>
      <c r="D119" t="str">
        <f t="shared" si="3"/>
        <v>HR-27-37</v>
      </c>
      <c r="E119" t="s">
        <v>270</v>
      </c>
      <c r="F119" s="4" t="s">
        <v>123</v>
      </c>
      <c r="G119" s="4"/>
      <c r="H119" s="4"/>
      <c r="I119" t="s">
        <v>85</v>
      </c>
      <c r="J119">
        <v>81122101</v>
      </c>
      <c r="K119">
        <v>52121402</v>
      </c>
      <c r="L119" t="s">
        <v>399</v>
      </c>
      <c r="M119" t="s">
        <v>400</v>
      </c>
      <c r="N119" t="s">
        <v>409</v>
      </c>
      <c r="P119" t="s">
        <v>85</v>
      </c>
    </row>
    <row r="120" spans="1:16" x14ac:dyDescent="0.35">
      <c r="A120" t="str">
        <f>_xlfn.XLOOKUP(I120,Sheet3!A:A,Sheet3!B:B)</f>
        <v>HR</v>
      </c>
      <c r="B120">
        <v>27</v>
      </c>
      <c r="C120">
        <f t="shared" si="6"/>
        <v>38</v>
      </c>
      <c r="D120" t="str">
        <f t="shared" si="3"/>
        <v>HR-27-38</v>
      </c>
      <c r="E120" t="s">
        <v>270</v>
      </c>
      <c r="F120" s="4" t="s">
        <v>80</v>
      </c>
      <c r="G120" s="4"/>
      <c r="H120" s="4"/>
      <c r="I120" t="s">
        <v>85</v>
      </c>
      <c r="J120">
        <v>81122101</v>
      </c>
      <c r="K120">
        <v>52121402</v>
      </c>
      <c r="L120" t="s">
        <v>401</v>
      </c>
      <c r="M120" t="s">
        <v>402</v>
      </c>
      <c r="N120" t="s">
        <v>411</v>
      </c>
      <c r="P120" t="s">
        <v>85</v>
      </c>
    </row>
    <row r="121" spans="1:16" x14ac:dyDescent="0.35">
      <c r="A121" t="str">
        <f>_xlfn.XLOOKUP(I121,Sheet3!A:A,Sheet3!B:B)</f>
        <v>HR</v>
      </c>
      <c r="B121">
        <v>27</v>
      </c>
      <c r="C121">
        <f t="shared" si="6"/>
        <v>39</v>
      </c>
      <c r="D121" t="str">
        <f t="shared" si="3"/>
        <v>HR-27-39</v>
      </c>
      <c r="E121" t="s">
        <v>270</v>
      </c>
      <c r="F121" s="4" t="s">
        <v>118</v>
      </c>
      <c r="G121" s="4" t="s">
        <v>223</v>
      </c>
      <c r="H121" s="4"/>
      <c r="I121" t="s">
        <v>85</v>
      </c>
      <c r="J121">
        <v>90111101</v>
      </c>
      <c r="K121">
        <v>52121314</v>
      </c>
      <c r="L121" t="s">
        <v>399</v>
      </c>
      <c r="M121" t="s">
        <v>400</v>
      </c>
      <c r="N121" t="s">
        <v>410</v>
      </c>
      <c r="P121" t="s">
        <v>85</v>
      </c>
    </row>
    <row r="122" spans="1:16" x14ac:dyDescent="0.35">
      <c r="A122" t="str">
        <f>_xlfn.XLOOKUP(I122,Sheet3!A:A,Sheet3!B:B)</f>
        <v>HR</v>
      </c>
      <c r="B122">
        <v>27</v>
      </c>
      <c r="C122">
        <f t="shared" si="6"/>
        <v>40</v>
      </c>
      <c r="D122" t="str">
        <f t="shared" si="3"/>
        <v>HR-27-40</v>
      </c>
      <c r="E122" t="s">
        <v>270</v>
      </c>
      <c r="F122" s="4" t="s">
        <v>118</v>
      </c>
      <c r="G122" s="4" t="s">
        <v>222</v>
      </c>
      <c r="H122" s="4"/>
      <c r="I122" t="s">
        <v>85</v>
      </c>
      <c r="J122">
        <v>80111101</v>
      </c>
      <c r="K122">
        <v>61021315</v>
      </c>
      <c r="L122" t="s">
        <v>399</v>
      </c>
      <c r="M122" t="s">
        <v>400</v>
      </c>
      <c r="N122" t="s">
        <v>410</v>
      </c>
    </row>
    <row r="123" spans="1:16" x14ac:dyDescent="0.35">
      <c r="A123" t="str">
        <f>_xlfn.XLOOKUP(I123,Sheet3!A:A,Sheet3!B:B)</f>
        <v>HR</v>
      </c>
      <c r="B123">
        <v>27</v>
      </c>
      <c r="C123">
        <f t="shared" si="6"/>
        <v>41</v>
      </c>
      <c r="D123" t="str">
        <f t="shared" si="3"/>
        <v>HR-27-41</v>
      </c>
      <c r="E123" t="s">
        <v>270</v>
      </c>
      <c r="F123" s="4" t="s">
        <v>118</v>
      </c>
      <c r="G123" s="4" t="s">
        <v>221</v>
      </c>
      <c r="H123" s="4"/>
      <c r="I123" t="s">
        <v>85</v>
      </c>
      <c r="J123">
        <v>81111101</v>
      </c>
      <c r="K123">
        <v>52121314</v>
      </c>
      <c r="L123" t="s">
        <v>399</v>
      </c>
      <c r="M123" t="s">
        <v>400</v>
      </c>
      <c r="N123" t="s">
        <v>410</v>
      </c>
    </row>
    <row r="124" spans="1:16" x14ac:dyDescent="0.35">
      <c r="A124" t="str">
        <f>_xlfn.XLOOKUP(I124,Sheet3!A:A,Sheet3!B:B)</f>
        <v>HR</v>
      </c>
      <c r="B124">
        <v>27</v>
      </c>
      <c r="C124">
        <f t="shared" si="6"/>
        <v>42</v>
      </c>
      <c r="D124" t="str">
        <f t="shared" si="3"/>
        <v>HR-27-42</v>
      </c>
      <c r="E124" t="s">
        <v>270</v>
      </c>
      <c r="F124" s="4" t="s">
        <v>114</v>
      </c>
      <c r="G124" s="4"/>
      <c r="H124" s="4"/>
      <c r="I124" t="s">
        <v>85</v>
      </c>
      <c r="J124">
        <v>81122101</v>
      </c>
      <c r="K124">
        <v>52121402</v>
      </c>
      <c r="M124" t="s">
        <v>251</v>
      </c>
      <c r="P124" t="s">
        <v>85</v>
      </c>
    </row>
    <row r="125" spans="1:16" x14ac:dyDescent="0.35">
      <c r="A125" t="str">
        <f>_xlfn.XLOOKUP(I125,Sheet3!A:A,Sheet3!B:B)</f>
        <v>HR</v>
      </c>
      <c r="B125">
        <v>27</v>
      </c>
      <c r="C125">
        <f t="shared" si="6"/>
        <v>43</v>
      </c>
      <c r="D125" t="str">
        <f t="shared" si="3"/>
        <v>HR-27-43</v>
      </c>
      <c r="E125" t="s">
        <v>270</v>
      </c>
      <c r="F125" s="4" t="s">
        <v>397</v>
      </c>
      <c r="G125" s="4"/>
      <c r="H125" s="4"/>
      <c r="I125" t="s">
        <v>85</v>
      </c>
      <c r="J125">
        <v>81122101</v>
      </c>
      <c r="K125">
        <v>52121402</v>
      </c>
      <c r="L125" t="s">
        <v>394</v>
      </c>
      <c r="M125" t="s">
        <v>395</v>
      </c>
      <c r="N125" t="s">
        <v>396</v>
      </c>
      <c r="P125" t="s">
        <v>85</v>
      </c>
    </row>
    <row r="126" spans="1:16" x14ac:dyDescent="0.35">
      <c r="A126" t="str">
        <f>_xlfn.XLOOKUP(I126,Sheet3!A:A,Sheet3!B:B)</f>
        <v>HR</v>
      </c>
      <c r="B126">
        <v>27</v>
      </c>
      <c r="C126">
        <f t="shared" si="6"/>
        <v>44</v>
      </c>
      <c r="D126" t="str">
        <f t="shared" si="3"/>
        <v>HR-27-44</v>
      </c>
      <c r="E126" t="s">
        <v>329</v>
      </c>
      <c r="F126" s="4" t="s">
        <v>322</v>
      </c>
      <c r="G126" s="4" t="s">
        <v>223</v>
      </c>
      <c r="H126" s="4"/>
      <c r="I126" t="s">
        <v>85</v>
      </c>
      <c r="J126">
        <v>90122101</v>
      </c>
      <c r="K126">
        <v>61071099</v>
      </c>
      <c r="P126" t="s">
        <v>85</v>
      </c>
    </row>
    <row r="127" spans="1:16" x14ac:dyDescent="0.35">
      <c r="A127" t="str">
        <f>_xlfn.XLOOKUP(I127,Sheet3!A:A,Sheet3!B:B)</f>
        <v>HR</v>
      </c>
      <c r="B127">
        <v>27</v>
      </c>
      <c r="C127">
        <f t="shared" si="6"/>
        <v>45</v>
      </c>
      <c r="D127" t="str">
        <f t="shared" si="3"/>
        <v>HR-27-45</v>
      </c>
      <c r="E127" t="s">
        <v>329</v>
      </c>
      <c r="F127" s="4" t="s">
        <v>322</v>
      </c>
      <c r="G127" s="4" t="s">
        <v>221</v>
      </c>
      <c r="H127" s="4"/>
      <c r="I127" t="s">
        <v>85</v>
      </c>
      <c r="J127">
        <v>81122101</v>
      </c>
      <c r="K127">
        <v>52071199</v>
      </c>
      <c r="P127" t="s">
        <v>85</v>
      </c>
    </row>
    <row r="128" spans="1:16" x14ac:dyDescent="0.35">
      <c r="A128" t="str">
        <f>_xlfn.XLOOKUP(I128,Sheet3!A:A,Sheet3!B:B)</f>
        <v>HR</v>
      </c>
      <c r="B128">
        <v>27</v>
      </c>
      <c r="C128">
        <f t="shared" si="6"/>
        <v>46</v>
      </c>
      <c r="D128" t="str">
        <f t="shared" si="3"/>
        <v>HR-27-46</v>
      </c>
      <c r="E128" t="s">
        <v>329</v>
      </c>
      <c r="F128" s="4" t="s">
        <v>322</v>
      </c>
      <c r="G128" s="4" t="s">
        <v>222</v>
      </c>
      <c r="H128" s="4"/>
      <c r="I128" t="s">
        <v>85</v>
      </c>
      <c r="J128">
        <v>80122101</v>
      </c>
      <c r="K128">
        <v>61071099</v>
      </c>
      <c r="P128" t="s">
        <v>85</v>
      </c>
    </row>
    <row r="129" spans="1:16" x14ac:dyDescent="0.35">
      <c r="A129" t="str">
        <f>_xlfn.XLOOKUP(I129,Sheet3!A:A,Sheet3!B:B)</f>
        <v>HR</v>
      </c>
      <c r="B129">
        <v>27</v>
      </c>
      <c r="C129">
        <f t="shared" si="6"/>
        <v>47</v>
      </c>
      <c r="D129" t="str">
        <f t="shared" si="3"/>
        <v>HR-27-47</v>
      </c>
      <c r="E129" t="s">
        <v>329</v>
      </c>
      <c r="F129" s="4" t="s">
        <v>321</v>
      </c>
      <c r="G129" s="4" t="s">
        <v>223</v>
      </c>
      <c r="H129" s="4"/>
      <c r="I129" t="s">
        <v>85</v>
      </c>
      <c r="J129">
        <v>90122101</v>
      </c>
      <c r="K129">
        <v>61071099</v>
      </c>
      <c r="P129" t="s">
        <v>85</v>
      </c>
    </row>
    <row r="130" spans="1:16" x14ac:dyDescent="0.35">
      <c r="A130" t="str">
        <f>_xlfn.XLOOKUP(I130,Sheet3!A:A,Sheet3!B:B)</f>
        <v>HR</v>
      </c>
      <c r="B130">
        <v>27</v>
      </c>
      <c r="C130">
        <f t="shared" si="6"/>
        <v>48</v>
      </c>
      <c r="D130" t="str">
        <f t="shared" si="3"/>
        <v>HR-27-48</v>
      </c>
      <c r="E130" t="s">
        <v>329</v>
      </c>
      <c r="F130" s="4" t="s">
        <v>321</v>
      </c>
      <c r="G130" s="4" t="s">
        <v>221</v>
      </c>
      <c r="H130" s="4"/>
      <c r="I130" t="s">
        <v>85</v>
      </c>
      <c r="J130">
        <v>81122101</v>
      </c>
      <c r="K130">
        <v>52071199</v>
      </c>
      <c r="P130" t="s">
        <v>85</v>
      </c>
    </row>
    <row r="131" spans="1:16" x14ac:dyDescent="0.35">
      <c r="A131" t="str">
        <f>_xlfn.XLOOKUP(I131,Sheet3!A:A,Sheet3!B:B)</f>
        <v>HR</v>
      </c>
      <c r="B131">
        <v>27</v>
      </c>
      <c r="C131">
        <f t="shared" si="6"/>
        <v>49</v>
      </c>
      <c r="D131" t="str">
        <f t="shared" ref="D131:D194" si="7">A131&amp;-B131&amp;-C131</f>
        <v>HR-27-49</v>
      </c>
      <c r="E131" t="s">
        <v>329</v>
      </c>
      <c r="F131" s="4" t="s">
        <v>321</v>
      </c>
      <c r="G131" s="4" t="s">
        <v>222</v>
      </c>
      <c r="H131" s="4"/>
      <c r="I131" t="s">
        <v>85</v>
      </c>
      <c r="J131">
        <v>80122101</v>
      </c>
      <c r="K131">
        <v>61071099</v>
      </c>
      <c r="P131" t="s">
        <v>85</v>
      </c>
    </row>
    <row r="132" spans="1:16" ht="29" x14ac:dyDescent="0.35">
      <c r="A132" t="str">
        <f>_xlfn.XLOOKUP(I132,Sheet3!A:A,Sheet3!B:B)</f>
        <v>HR</v>
      </c>
      <c r="B132">
        <v>27</v>
      </c>
      <c r="C132">
        <f t="shared" si="6"/>
        <v>50</v>
      </c>
      <c r="D132" t="str">
        <f t="shared" si="7"/>
        <v>HR-27-50</v>
      </c>
      <c r="E132" t="s">
        <v>329</v>
      </c>
      <c r="F132" s="5" t="s">
        <v>332</v>
      </c>
      <c r="I132" t="s">
        <v>85</v>
      </c>
      <c r="J132">
        <v>90111101</v>
      </c>
      <c r="K132">
        <v>52071199</v>
      </c>
      <c r="P132" t="s">
        <v>85</v>
      </c>
    </row>
    <row r="133" spans="1:16" x14ac:dyDescent="0.35">
      <c r="A133" t="str">
        <f>_xlfn.XLOOKUP(I133,Sheet3!A:A,Sheet3!B:B)</f>
        <v>HR</v>
      </c>
      <c r="B133">
        <v>27</v>
      </c>
      <c r="C133">
        <f t="shared" si="6"/>
        <v>51</v>
      </c>
      <c r="D133" t="str">
        <f t="shared" si="7"/>
        <v>HR-27-51</v>
      </c>
      <c r="E133" t="s">
        <v>329</v>
      </c>
      <c r="F133" s="4" t="s">
        <v>163</v>
      </c>
      <c r="G133" s="4"/>
      <c r="H133" s="4"/>
      <c r="I133" t="s">
        <v>85</v>
      </c>
      <c r="J133">
        <v>90122101</v>
      </c>
      <c r="K133">
        <v>52071104</v>
      </c>
      <c r="P133" t="s">
        <v>85</v>
      </c>
    </row>
    <row r="134" spans="1:16" x14ac:dyDescent="0.35">
      <c r="A134" t="str">
        <f>_xlfn.XLOOKUP(I134,Sheet3!A:A,Sheet3!B:B)</f>
        <v>HR</v>
      </c>
      <c r="B134">
        <v>27</v>
      </c>
      <c r="C134">
        <f t="shared" si="6"/>
        <v>52</v>
      </c>
      <c r="D134" t="str">
        <f t="shared" si="7"/>
        <v>HR-27-52</v>
      </c>
      <c r="E134" t="s">
        <v>329</v>
      </c>
      <c r="F134" s="4" t="s">
        <v>438</v>
      </c>
      <c r="G134" s="4"/>
      <c r="H134" s="4"/>
      <c r="I134" t="s">
        <v>85</v>
      </c>
      <c r="J134">
        <v>90122101</v>
      </c>
      <c r="K134">
        <v>61071099</v>
      </c>
    </row>
    <row r="135" spans="1:16" x14ac:dyDescent="0.35">
      <c r="A135" t="str">
        <f>_xlfn.XLOOKUP(I135,Sheet3!A:A,Sheet3!B:B)</f>
        <v>HR</v>
      </c>
      <c r="B135">
        <v>27</v>
      </c>
      <c r="C135">
        <f t="shared" si="6"/>
        <v>53</v>
      </c>
      <c r="D135" t="str">
        <f t="shared" si="7"/>
        <v>HR-27-53</v>
      </c>
      <c r="E135" t="s">
        <v>329</v>
      </c>
      <c r="F135" s="4" t="s">
        <v>164</v>
      </c>
      <c r="G135" s="4"/>
      <c r="H135" s="4"/>
      <c r="I135" t="s">
        <v>85</v>
      </c>
      <c r="J135">
        <v>90122101</v>
      </c>
      <c r="K135">
        <v>52071104</v>
      </c>
      <c r="P135" t="s">
        <v>85</v>
      </c>
    </row>
    <row r="136" spans="1:16" x14ac:dyDescent="0.35">
      <c r="A136" t="str">
        <f>_xlfn.XLOOKUP(I136,Sheet3!A:A,Sheet3!B:B)</f>
        <v>HR</v>
      </c>
      <c r="B136">
        <v>27</v>
      </c>
      <c r="C136">
        <f t="shared" si="6"/>
        <v>54</v>
      </c>
      <c r="D136" t="str">
        <f t="shared" si="7"/>
        <v>HR-27-54</v>
      </c>
      <c r="E136" t="s">
        <v>329</v>
      </c>
      <c r="F136" s="5" t="s">
        <v>323</v>
      </c>
      <c r="I136" t="s">
        <v>85</v>
      </c>
      <c r="J136">
        <v>90122101</v>
      </c>
      <c r="K136">
        <v>52071104</v>
      </c>
      <c r="P136" t="s">
        <v>85</v>
      </c>
    </row>
    <row r="137" spans="1:16" x14ac:dyDescent="0.35">
      <c r="A137" t="str">
        <f>_xlfn.XLOOKUP(I137,Sheet3!A:A,Sheet3!B:B)</f>
        <v>HR</v>
      </c>
      <c r="B137">
        <v>27</v>
      </c>
      <c r="C137">
        <f t="shared" si="6"/>
        <v>55</v>
      </c>
      <c r="D137" t="str">
        <f t="shared" si="7"/>
        <v>HR-27-55</v>
      </c>
      <c r="E137" t="s">
        <v>219</v>
      </c>
      <c r="F137" s="4" t="s">
        <v>133</v>
      </c>
      <c r="G137" s="4" t="s">
        <v>222</v>
      </c>
      <c r="H137" s="4"/>
      <c r="I137" t="s">
        <v>85</v>
      </c>
      <c r="J137">
        <v>80111101</v>
      </c>
      <c r="K137">
        <v>61021314</v>
      </c>
      <c r="P137" t="s">
        <v>85</v>
      </c>
    </row>
    <row r="138" spans="1:16" x14ac:dyDescent="0.35">
      <c r="A138" t="str">
        <f>_xlfn.XLOOKUP(I138,Sheet3!A:A,Sheet3!B:B)</f>
        <v>HR</v>
      </c>
      <c r="B138">
        <v>27</v>
      </c>
      <c r="C138">
        <f t="shared" si="6"/>
        <v>56</v>
      </c>
      <c r="D138" t="str">
        <f t="shared" si="7"/>
        <v>HR-27-56</v>
      </c>
      <c r="E138" t="s">
        <v>219</v>
      </c>
      <c r="F138" s="4" t="s">
        <v>133</v>
      </c>
      <c r="G138" s="4" t="s">
        <v>223</v>
      </c>
      <c r="H138" s="4"/>
      <c r="I138" t="s">
        <v>85</v>
      </c>
      <c r="J138">
        <v>90111101</v>
      </c>
      <c r="K138">
        <v>52121313</v>
      </c>
      <c r="P138" t="s">
        <v>85</v>
      </c>
    </row>
    <row r="139" spans="1:16" x14ac:dyDescent="0.35">
      <c r="A139" t="str">
        <f>_xlfn.XLOOKUP(I139,Sheet3!A:A,Sheet3!B:B)</f>
        <v>HR</v>
      </c>
      <c r="B139">
        <v>27</v>
      </c>
      <c r="C139">
        <f t="shared" si="6"/>
        <v>57</v>
      </c>
      <c r="D139" t="str">
        <f t="shared" si="7"/>
        <v>HR-27-57</v>
      </c>
      <c r="E139" t="s">
        <v>219</v>
      </c>
      <c r="F139" s="4" t="s">
        <v>133</v>
      </c>
      <c r="G139" s="4" t="s">
        <v>221</v>
      </c>
      <c r="H139" s="4"/>
      <c r="I139" t="s">
        <v>85</v>
      </c>
      <c r="J139">
        <v>81111101</v>
      </c>
      <c r="K139">
        <v>52121313</v>
      </c>
      <c r="P139" t="s">
        <v>85</v>
      </c>
    </row>
    <row r="140" spans="1:16" x14ac:dyDescent="0.35">
      <c r="A140" t="str">
        <f>_xlfn.XLOOKUP(I140,Sheet3!A:A,Sheet3!B:B)</f>
        <v>HR</v>
      </c>
      <c r="B140">
        <v>27</v>
      </c>
      <c r="C140">
        <f t="shared" si="6"/>
        <v>58</v>
      </c>
      <c r="D140" t="str">
        <f t="shared" si="7"/>
        <v>HR-27-58</v>
      </c>
      <c r="E140" t="s">
        <v>314</v>
      </c>
      <c r="F140" s="4" t="s">
        <v>115</v>
      </c>
      <c r="G140" s="4"/>
      <c r="H140" s="4"/>
      <c r="I140" t="s">
        <v>85</v>
      </c>
      <c r="J140">
        <v>81122101</v>
      </c>
      <c r="K140">
        <v>52111101</v>
      </c>
      <c r="P140" t="s">
        <v>85</v>
      </c>
    </row>
    <row r="141" spans="1:16" x14ac:dyDescent="0.35">
      <c r="A141" t="str">
        <f>_xlfn.XLOOKUP(I141,Sheet3!A:A,Sheet3!B:B)</f>
        <v>HR</v>
      </c>
      <c r="B141">
        <v>27</v>
      </c>
      <c r="C141">
        <f t="shared" si="6"/>
        <v>59</v>
      </c>
      <c r="D141" t="str">
        <f t="shared" si="7"/>
        <v>HR-27-59</v>
      </c>
      <c r="E141" t="s">
        <v>314</v>
      </c>
      <c r="F141" s="4" t="s">
        <v>113</v>
      </c>
      <c r="G141" s="4"/>
      <c r="H141" s="4"/>
      <c r="I141" t="s">
        <v>85</v>
      </c>
      <c r="J141">
        <v>81122101</v>
      </c>
      <c r="K141">
        <v>52111101</v>
      </c>
      <c r="P141" t="s">
        <v>85</v>
      </c>
    </row>
    <row r="142" spans="1:16" x14ac:dyDescent="0.35">
      <c r="A142" t="str">
        <f>_xlfn.XLOOKUP(I142,Sheet3!A:A,Sheet3!B:B)</f>
        <v>HR</v>
      </c>
      <c r="B142">
        <v>27</v>
      </c>
      <c r="C142">
        <f t="shared" si="6"/>
        <v>60</v>
      </c>
      <c r="D142" t="str">
        <f t="shared" si="7"/>
        <v>HR-27-60</v>
      </c>
      <c r="E142" t="s">
        <v>314</v>
      </c>
      <c r="F142" s="4" t="s">
        <v>81</v>
      </c>
      <c r="G142" s="4"/>
      <c r="H142" s="4"/>
      <c r="I142" t="s">
        <v>85</v>
      </c>
      <c r="J142">
        <v>81122101</v>
      </c>
      <c r="K142">
        <v>52111101</v>
      </c>
      <c r="P142" t="s">
        <v>85</v>
      </c>
    </row>
    <row r="143" spans="1:16" x14ac:dyDescent="0.35">
      <c r="A143" t="str">
        <f>_xlfn.XLOOKUP(I143,Sheet3!A:A,Sheet3!B:B)</f>
        <v>HR</v>
      </c>
      <c r="B143">
        <v>27</v>
      </c>
      <c r="C143">
        <f t="shared" si="6"/>
        <v>61</v>
      </c>
      <c r="D143" t="str">
        <f t="shared" si="7"/>
        <v>HR-27-61</v>
      </c>
      <c r="E143" t="s">
        <v>314</v>
      </c>
      <c r="F143" s="4" t="s">
        <v>116</v>
      </c>
      <c r="G143" s="4"/>
      <c r="H143" s="4"/>
      <c r="I143" t="s">
        <v>85</v>
      </c>
      <c r="J143">
        <v>81122101</v>
      </c>
      <c r="K143">
        <v>52111101</v>
      </c>
    </row>
    <row r="144" spans="1:16" x14ac:dyDescent="0.35">
      <c r="A144" t="str">
        <f>_xlfn.XLOOKUP(I144,Sheet3!A:A,Sheet3!B:B)</f>
        <v>HR</v>
      </c>
      <c r="B144">
        <v>27</v>
      </c>
      <c r="C144">
        <f t="shared" si="6"/>
        <v>62</v>
      </c>
      <c r="D144" t="str">
        <f t="shared" si="7"/>
        <v>HR-27-62</v>
      </c>
      <c r="E144" t="s">
        <v>314</v>
      </c>
      <c r="F144" s="4" t="s">
        <v>83</v>
      </c>
      <c r="G144" s="4"/>
      <c r="H144" s="4"/>
      <c r="I144" t="s">
        <v>85</v>
      </c>
      <c r="J144">
        <v>81122101</v>
      </c>
      <c r="K144">
        <v>52111101</v>
      </c>
      <c r="P144" t="s">
        <v>85</v>
      </c>
    </row>
    <row r="145" spans="1:16" x14ac:dyDescent="0.35">
      <c r="A145" t="str">
        <f>_xlfn.XLOOKUP(I145,Sheet3!A:A,Sheet3!B:B)</f>
        <v>HR</v>
      </c>
      <c r="B145">
        <v>27</v>
      </c>
      <c r="C145">
        <f t="shared" si="6"/>
        <v>63</v>
      </c>
      <c r="D145" t="str">
        <f t="shared" si="7"/>
        <v>HR-27-63</v>
      </c>
      <c r="E145" t="s">
        <v>314</v>
      </c>
      <c r="F145" s="4" t="s">
        <v>413</v>
      </c>
      <c r="G145" s="4"/>
      <c r="H145" s="4"/>
      <c r="I145" t="s">
        <v>85</v>
      </c>
      <c r="J145">
        <v>81122101</v>
      </c>
      <c r="K145">
        <v>52111101</v>
      </c>
      <c r="P145" t="s">
        <v>85</v>
      </c>
    </row>
    <row r="146" spans="1:16" x14ac:dyDescent="0.35">
      <c r="A146" t="str">
        <f>_xlfn.XLOOKUP(I146,Sheet3!A:A,Sheet3!B:B)</f>
        <v>HR</v>
      </c>
      <c r="B146">
        <v>27</v>
      </c>
      <c r="C146">
        <f t="shared" si="6"/>
        <v>64</v>
      </c>
      <c r="D146" t="str">
        <f t="shared" si="7"/>
        <v>HR-27-64</v>
      </c>
      <c r="E146" t="s">
        <v>441</v>
      </c>
      <c r="F146" s="4" t="s">
        <v>165</v>
      </c>
      <c r="G146" s="4" t="s">
        <v>221</v>
      </c>
      <c r="H146" s="4"/>
      <c r="I146" t="s">
        <v>85</v>
      </c>
      <c r="J146">
        <v>81122101</v>
      </c>
      <c r="K146">
        <v>52071104</v>
      </c>
      <c r="L146" t="s">
        <v>325</v>
      </c>
      <c r="P146" t="s">
        <v>85</v>
      </c>
    </row>
    <row r="147" spans="1:16" x14ac:dyDescent="0.35">
      <c r="A147" t="str">
        <f>_xlfn.XLOOKUP(I147,Sheet3!A:A,Sheet3!B:B)</f>
        <v>HR</v>
      </c>
      <c r="B147">
        <v>27</v>
      </c>
      <c r="C147">
        <f t="shared" si="6"/>
        <v>65</v>
      </c>
      <c r="D147" t="str">
        <f t="shared" si="7"/>
        <v>HR-27-65</v>
      </c>
      <c r="E147" t="s">
        <v>441</v>
      </c>
      <c r="F147" s="4" t="s">
        <v>165</v>
      </c>
      <c r="G147" s="4" t="s">
        <v>223</v>
      </c>
      <c r="H147" s="4"/>
      <c r="I147" t="s">
        <v>85</v>
      </c>
      <c r="J147">
        <v>90122101</v>
      </c>
      <c r="K147">
        <v>52071104</v>
      </c>
      <c r="L147" t="s">
        <v>325</v>
      </c>
      <c r="P147" t="s">
        <v>85</v>
      </c>
    </row>
    <row r="148" spans="1:16" x14ac:dyDescent="0.35">
      <c r="A148" t="str">
        <f>_xlfn.XLOOKUP(I148,Sheet3!A:A,Sheet3!B:B)</f>
        <v>HR</v>
      </c>
      <c r="B148">
        <v>27</v>
      </c>
      <c r="C148">
        <f t="shared" si="6"/>
        <v>66</v>
      </c>
      <c r="D148" t="str">
        <f t="shared" si="7"/>
        <v>HR-27-66</v>
      </c>
      <c r="E148" s="4" t="s">
        <v>267</v>
      </c>
      <c r="F148" s="4" t="s">
        <v>148</v>
      </c>
      <c r="G148" s="4" t="s">
        <v>221</v>
      </c>
      <c r="H148" s="4"/>
      <c r="I148" t="s">
        <v>85</v>
      </c>
      <c r="J148">
        <v>81111101</v>
      </c>
      <c r="K148">
        <v>52121301</v>
      </c>
      <c r="P148" t="s">
        <v>85</v>
      </c>
    </row>
    <row r="149" spans="1:16" x14ac:dyDescent="0.35">
      <c r="A149" t="str">
        <f>_xlfn.XLOOKUP(I149,Sheet3!A:A,Sheet3!B:B)</f>
        <v>HR</v>
      </c>
      <c r="B149">
        <v>27</v>
      </c>
      <c r="C149">
        <f t="shared" ref="C149:C212" si="8">C148+1</f>
        <v>67</v>
      </c>
      <c r="D149" t="str">
        <f t="shared" si="7"/>
        <v>HR-27-67</v>
      </c>
      <c r="E149" s="4" t="s">
        <v>267</v>
      </c>
      <c r="F149" s="4" t="s">
        <v>148</v>
      </c>
      <c r="G149" s="4" t="s">
        <v>222</v>
      </c>
      <c r="H149" s="4"/>
      <c r="I149" t="s">
        <v>85</v>
      </c>
      <c r="J149">
        <v>80111101</v>
      </c>
      <c r="K149">
        <v>61021301</v>
      </c>
      <c r="P149" t="s">
        <v>85</v>
      </c>
    </row>
    <row r="150" spans="1:16" x14ac:dyDescent="0.35">
      <c r="A150" t="str">
        <f>_xlfn.XLOOKUP(I150,Sheet3!A:A,Sheet3!B:B)</f>
        <v>HR</v>
      </c>
      <c r="B150">
        <v>27</v>
      </c>
      <c r="C150">
        <f t="shared" si="8"/>
        <v>68</v>
      </c>
      <c r="D150" t="str">
        <f t="shared" si="7"/>
        <v>HR-27-68</v>
      </c>
      <c r="E150" s="4" t="s">
        <v>267</v>
      </c>
      <c r="F150" s="4" t="s">
        <v>148</v>
      </c>
      <c r="G150" s="4" t="s">
        <v>223</v>
      </c>
      <c r="H150" s="4"/>
      <c r="I150" t="s">
        <v>85</v>
      </c>
      <c r="J150">
        <v>90111101</v>
      </c>
      <c r="K150">
        <v>52121301</v>
      </c>
      <c r="P150" t="s">
        <v>85</v>
      </c>
    </row>
    <row r="151" spans="1:16" x14ac:dyDescent="0.35">
      <c r="A151" t="str">
        <f>_xlfn.XLOOKUP(I151,Sheet3!A:A,Sheet3!B:B)</f>
        <v>HR</v>
      </c>
      <c r="B151">
        <v>27</v>
      </c>
      <c r="C151">
        <f t="shared" si="8"/>
        <v>69</v>
      </c>
      <c r="D151" t="str">
        <f t="shared" si="7"/>
        <v>HR-27-69</v>
      </c>
      <c r="E151" t="s">
        <v>267</v>
      </c>
      <c r="F151" s="4" t="s">
        <v>134</v>
      </c>
      <c r="G151" s="4" t="s">
        <v>221</v>
      </c>
      <c r="H151" s="4"/>
      <c r="I151" t="s">
        <v>85</v>
      </c>
      <c r="J151">
        <v>81111101</v>
      </c>
      <c r="K151">
        <v>52121308</v>
      </c>
      <c r="P151" t="s">
        <v>85</v>
      </c>
    </row>
    <row r="152" spans="1:16" x14ac:dyDescent="0.35">
      <c r="A152" t="str">
        <f>_xlfn.XLOOKUP(I152,Sheet3!A:A,Sheet3!B:B)</f>
        <v>HR</v>
      </c>
      <c r="B152">
        <v>27</v>
      </c>
      <c r="C152">
        <f t="shared" si="8"/>
        <v>70</v>
      </c>
      <c r="D152" t="str">
        <f t="shared" si="7"/>
        <v>HR-27-70</v>
      </c>
      <c r="E152" t="s">
        <v>267</v>
      </c>
      <c r="F152" s="4" t="s">
        <v>134</v>
      </c>
      <c r="G152" s="4" t="s">
        <v>225</v>
      </c>
      <c r="H152" s="4"/>
      <c r="I152" t="s">
        <v>85</v>
      </c>
      <c r="J152">
        <v>80111101</v>
      </c>
      <c r="K152">
        <v>61021309</v>
      </c>
      <c r="P152" t="s">
        <v>85</v>
      </c>
    </row>
    <row r="153" spans="1:16" x14ac:dyDescent="0.35">
      <c r="A153" t="str">
        <f>_xlfn.XLOOKUP(I153,Sheet3!A:A,Sheet3!B:B)</f>
        <v>HR</v>
      </c>
      <c r="B153">
        <v>27</v>
      </c>
      <c r="C153">
        <f t="shared" si="8"/>
        <v>71</v>
      </c>
      <c r="D153" t="str">
        <f t="shared" si="7"/>
        <v>HR-27-71</v>
      </c>
      <c r="E153" t="s">
        <v>267</v>
      </c>
      <c r="F153" s="4" t="s">
        <v>134</v>
      </c>
      <c r="G153" s="4" t="s">
        <v>223</v>
      </c>
      <c r="H153" s="4"/>
      <c r="I153" t="s">
        <v>85</v>
      </c>
      <c r="J153">
        <v>90111101</v>
      </c>
      <c r="K153">
        <v>52121308</v>
      </c>
      <c r="P153" t="s">
        <v>85</v>
      </c>
    </row>
    <row r="154" spans="1:16" x14ac:dyDescent="0.35">
      <c r="A154" t="str">
        <f>_xlfn.XLOOKUP(I154,Sheet3!A:A,Sheet3!B:B)</f>
        <v>HR</v>
      </c>
      <c r="B154">
        <v>27</v>
      </c>
      <c r="C154">
        <f t="shared" si="8"/>
        <v>72</v>
      </c>
      <c r="D154" t="str">
        <f t="shared" si="7"/>
        <v>HR-27-72</v>
      </c>
      <c r="E154" t="s">
        <v>267</v>
      </c>
      <c r="F154" s="4" t="s">
        <v>151</v>
      </c>
      <c r="G154" s="4" t="s">
        <v>221</v>
      </c>
      <c r="H154" s="4"/>
      <c r="I154" t="s">
        <v>85</v>
      </c>
      <c r="J154">
        <v>81111101</v>
      </c>
      <c r="K154">
        <v>52121303</v>
      </c>
      <c r="P154" t="s">
        <v>85</v>
      </c>
    </row>
    <row r="155" spans="1:16" x14ac:dyDescent="0.35">
      <c r="A155" t="str">
        <f>_xlfn.XLOOKUP(I155,Sheet3!A:A,Sheet3!B:B)</f>
        <v>HR</v>
      </c>
      <c r="B155">
        <v>27</v>
      </c>
      <c r="C155">
        <f t="shared" si="8"/>
        <v>73</v>
      </c>
      <c r="D155" t="str">
        <f t="shared" si="7"/>
        <v>HR-27-73</v>
      </c>
      <c r="E155" t="s">
        <v>267</v>
      </c>
      <c r="F155" s="4" t="s">
        <v>151</v>
      </c>
      <c r="G155" s="4" t="s">
        <v>222</v>
      </c>
      <c r="H155" s="4"/>
      <c r="I155" t="s">
        <v>85</v>
      </c>
      <c r="J155">
        <v>80111101</v>
      </c>
      <c r="K155">
        <v>61021303</v>
      </c>
      <c r="P155" t="s">
        <v>85</v>
      </c>
    </row>
    <row r="156" spans="1:16" x14ac:dyDescent="0.35">
      <c r="A156" t="str">
        <f>_xlfn.XLOOKUP(I156,Sheet3!A:A,Sheet3!B:B)</f>
        <v>HR</v>
      </c>
      <c r="B156">
        <v>27</v>
      </c>
      <c r="C156">
        <f t="shared" si="8"/>
        <v>74</v>
      </c>
      <c r="D156" t="str">
        <f t="shared" si="7"/>
        <v>HR-27-74</v>
      </c>
      <c r="E156" t="s">
        <v>267</v>
      </c>
      <c r="F156" s="4" t="s">
        <v>151</v>
      </c>
      <c r="G156" s="4" t="s">
        <v>223</v>
      </c>
      <c r="H156" s="4"/>
      <c r="I156" t="s">
        <v>85</v>
      </c>
      <c r="J156">
        <v>90111101</v>
      </c>
      <c r="K156">
        <v>52121303</v>
      </c>
      <c r="P156" t="s">
        <v>85</v>
      </c>
    </row>
    <row r="157" spans="1:16" x14ac:dyDescent="0.35">
      <c r="A157" t="str">
        <f>_xlfn.XLOOKUP(I157,Sheet3!A:A,Sheet3!B:B)</f>
        <v>HR</v>
      </c>
      <c r="B157">
        <v>27</v>
      </c>
      <c r="C157">
        <f t="shared" si="8"/>
        <v>75</v>
      </c>
      <c r="D157" t="str">
        <f t="shared" si="7"/>
        <v>HR-27-75</v>
      </c>
      <c r="E157" s="4" t="s">
        <v>267</v>
      </c>
      <c r="F157" s="4" t="s">
        <v>130</v>
      </c>
      <c r="G157" s="4" t="s">
        <v>223</v>
      </c>
      <c r="H157" s="4"/>
      <c r="I157" t="s">
        <v>85</v>
      </c>
      <c r="J157">
        <v>90111101</v>
      </c>
      <c r="K157">
        <v>52121106</v>
      </c>
      <c r="P157" t="s">
        <v>85</v>
      </c>
    </row>
    <row r="158" spans="1:16" x14ac:dyDescent="0.35">
      <c r="A158" t="str">
        <f>_xlfn.XLOOKUP(I158,Sheet3!A:A,Sheet3!B:B)</f>
        <v>HR</v>
      </c>
      <c r="B158">
        <v>27</v>
      </c>
      <c r="C158">
        <f t="shared" si="8"/>
        <v>76</v>
      </c>
      <c r="D158" t="str">
        <f t="shared" si="7"/>
        <v>HR-27-76</v>
      </c>
      <c r="E158" s="4" t="s">
        <v>267</v>
      </c>
      <c r="F158" s="4" t="s">
        <v>125</v>
      </c>
      <c r="G158" s="4" t="s">
        <v>221</v>
      </c>
      <c r="H158" s="4"/>
      <c r="I158" t="s">
        <v>85</v>
      </c>
      <c r="J158">
        <v>81111101</v>
      </c>
      <c r="K158">
        <v>52121106</v>
      </c>
      <c r="P158" t="s">
        <v>85</v>
      </c>
    </row>
    <row r="159" spans="1:16" x14ac:dyDescent="0.35">
      <c r="A159" t="str">
        <f>_xlfn.XLOOKUP(I159,Sheet3!A:A,Sheet3!B:B)</f>
        <v>HR</v>
      </c>
      <c r="B159">
        <v>27</v>
      </c>
      <c r="C159">
        <f t="shared" si="8"/>
        <v>77</v>
      </c>
      <c r="D159" t="str">
        <f t="shared" si="7"/>
        <v>HR-27-77</v>
      </c>
      <c r="E159" t="s">
        <v>267</v>
      </c>
      <c r="F159" s="4" t="s">
        <v>149</v>
      </c>
      <c r="G159" s="4" t="s">
        <v>221</v>
      </c>
      <c r="H159" s="4"/>
      <c r="I159" t="s">
        <v>85</v>
      </c>
      <c r="J159">
        <v>81111101</v>
      </c>
      <c r="K159">
        <v>52121301</v>
      </c>
      <c r="P159" t="s">
        <v>85</v>
      </c>
    </row>
    <row r="160" spans="1:16" x14ac:dyDescent="0.35">
      <c r="A160" t="str">
        <f>_xlfn.XLOOKUP(I160,Sheet3!A:A,Sheet3!B:B)</f>
        <v>HR</v>
      </c>
      <c r="B160">
        <v>27</v>
      </c>
      <c r="C160">
        <f t="shared" si="8"/>
        <v>78</v>
      </c>
      <c r="D160" t="str">
        <f t="shared" si="7"/>
        <v>HR-27-78</v>
      </c>
      <c r="E160" t="s">
        <v>267</v>
      </c>
      <c r="F160" s="4" t="s">
        <v>149</v>
      </c>
      <c r="G160" s="4" t="s">
        <v>222</v>
      </c>
      <c r="H160" s="4"/>
      <c r="I160" t="s">
        <v>85</v>
      </c>
      <c r="J160">
        <v>80111101</v>
      </c>
      <c r="K160">
        <v>61021301</v>
      </c>
      <c r="P160" t="s">
        <v>85</v>
      </c>
    </row>
    <row r="161" spans="1:16" x14ac:dyDescent="0.35">
      <c r="A161" t="str">
        <f>_xlfn.XLOOKUP(I161,Sheet3!A:A,Sheet3!B:B)</f>
        <v>HR</v>
      </c>
      <c r="B161">
        <v>27</v>
      </c>
      <c r="C161">
        <f t="shared" si="8"/>
        <v>79</v>
      </c>
      <c r="D161" t="str">
        <f t="shared" si="7"/>
        <v>HR-27-79</v>
      </c>
      <c r="E161" t="s">
        <v>267</v>
      </c>
      <c r="F161" s="4" t="s">
        <v>149</v>
      </c>
      <c r="G161" s="4" t="s">
        <v>223</v>
      </c>
      <c r="H161" s="4"/>
      <c r="I161" t="s">
        <v>85</v>
      </c>
      <c r="J161">
        <v>90111101</v>
      </c>
      <c r="K161">
        <v>52121301</v>
      </c>
      <c r="P161" t="s">
        <v>85</v>
      </c>
    </row>
    <row r="162" spans="1:16" x14ac:dyDescent="0.35">
      <c r="A162" t="str">
        <f>_xlfn.XLOOKUP(I162,Sheet3!A:A,Sheet3!B:B)</f>
        <v>HR</v>
      </c>
      <c r="B162">
        <v>27</v>
      </c>
      <c r="C162">
        <f t="shared" si="8"/>
        <v>80</v>
      </c>
      <c r="D162" t="str">
        <f t="shared" si="7"/>
        <v>HR-27-80</v>
      </c>
      <c r="E162" t="s">
        <v>267</v>
      </c>
      <c r="F162" s="4" t="s">
        <v>146</v>
      </c>
      <c r="G162" s="4" t="s">
        <v>221</v>
      </c>
      <c r="H162" s="4"/>
      <c r="I162" t="s">
        <v>85</v>
      </c>
      <c r="J162">
        <v>81111101</v>
      </c>
      <c r="K162">
        <v>52121302</v>
      </c>
      <c r="P162" t="s">
        <v>85</v>
      </c>
    </row>
    <row r="163" spans="1:16" x14ac:dyDescent="0.35">
      <c r="A163" t="str">
        <f>_xlfn.XLOOKUP(I163,Sheet3!A:A,Sheet3!B:B)</f>
        <v>HR</v>
      </c>
      <c r="B163">
        <v>27</v>
      </c>
      <c r="C163">
        <f t="shared" si="8"/>
        <v>81</v>
      </c>
      <c r="D163" t="str">
        <f t="shared" si="7"/>
        <v>HR-27-81</v>
      </c>
      <c r="E163" t="s">
        <v>267</v>
      </c>
      <c r="F163" s="4" t="s">
        <v>146</v>
      </c>
      <c r="G163" s="4" t="s">
        <v>222</v>
      </c>
      <c r="H163" s="4"/>
      <c r="I163" t="s">
        <v>85</v>
      </c>
      <c r="J163">
        <v>80111101</v>
      </c>
      <c r="K163">
        <v>61021302</v>
      </c>
      <c r="P163" t="s">
        <v>85</v>
      </c>
    </row>
    <row r="164" spans="1:16" x14ac:dyDescent="0.35">
      <c r="A164" t="str">
        <f>_xlfn.XLOOKUP(I164,Sheet3!A:A,Sheet3!B:B)</f>
        <v>HR</v>
      </c>
      <c r="B164">
        <v>27</v>
      </c>
      <c r="C164">
        <f t="shared" si="8"/>
        <v>82</v>
      </c>
      <c r="D164" t="str">
        <f t="shared" si="7"/>
        <v>HR-27-82</v>
      </c>
      <c r="E164" t="s">
        <v>267</v>
      </c>
      <c r="F164" s="4" t="s">
        <v>146</v>
      </c>
      <c r="G164" s="4" t="s">
        <v>223</v>
      </c>
      <c r="H164" s="4"/>
      <c r="I164" t="s">
        <v>85</v>
      </c>
      <c r="J164">
        <v>90111101</v>
      </c>
      <c r="K164">
        <v>52121302</v>
      </c>
      <c r="P164" t="s">
        <v>85</v>
      </c>
    </row>
    <row r="165" spans="1:16" x14ac:dyDescent="0.35">
      <c r="A165" t="str">
        <f>_xlfn.XLOOKUP(I165,Sheet3!A:A,Sheet3!B:B)</f>
        <v>HR</v>
      </c>
      <c r="B165">
        <v>27</v>
      </c>
      <c r="C165">
        <f t="shared" si="8"/>
        <v>83</v>
      </c>
      <c r="D165" t="str">
        <f t="shared" si="7"/>
        <v>HR-27-83</v>
      </c>
      <c r="E165" t="s">
        <v>267</v>
      </c>
      <c r="F165" s="4" t="s">
        <v>150</v>
      </c>
      <c r="G165" s="4" t="s">
        <v>221</v>
      </c>
      <c r="H165" s="4"/>
      <c r="I165" t="s">
        <v>85</v>
      </c>
      <c r="J165">
        <v>81111101</v>
      </c>
      <c r="K165">
        <v>52121303</v>
      </c>
      <c r="P165" t="s">
        <v>85</v>
      </c>
    </row>
    <row r="166" spans="1:16" x14ac:dyDescent="0.35">
      <c r="A166" t="str">
        <f>_xlfn.XLOOKUP(I166,Sheet3!A:A,Sheet3!B:B)</f>
        <v>HR</v>
      </c>
      <c r="B166">
        <v>27</v>
      </c>
      <c r="C166">
        <f t="shared" si="8"/>
        <v>84</v>
      </c>
      <c r="D166" t="str">
        <f t="shared" si="7"/>
        <v>HR-27-84</v>
      </c>
      <c r="E166" t="s">
        <v>267</v>
      </c>
      <c r="F166" s="4" t="s">
        <v>150</v>
      </c>
      <c r="G166" s="4" t="s">
        <v>222</v>
      </c>
      <c r="H166" s="4"/>
      <c r="I166" t="s">
        <v>85</v>
      </c>
      <c r="J166">
        <v>80111101</v>
      </c>
      <c r="K166">
        <v>61021303</v>
      </c>
      <c r="P166" t="s">
        <v>85</v>
      </c>
    </row>
    <row r="167" spans="1:16" x14ac:dyDescent="0.35">
      <c r="A167" t="str">
        <f>_xlfn.XLOOKUP(I167,Sheet3!A:A,Sheet3!B:B)</f>
        <v>HR</v>
      </c>
      <c r="B167">
        <v>27</v>
      </c>
      <c r="C167">
        <f t="shared" si="8"/>
        <v>85</v>
      </c>
      <c r="D167" t="str">
        <f t="shared" si="7"/>
        <v>HR-27-85</v>
      </c>
      <c r="E167" t="s">
        <v>267</v>
      </c>
      <c r="F167" s="4" t="s">
        <v>150</v>
      </c>
      <c r="G167" s="4" t="s">
        <v>223</v>
      </c>
      <c r="H167" s="4"/>
      <c r="I167" t="s">
        <v>85</v>
      </c>
      <c r="J167">
        <v>90111101</v>
      </c>
      <c r="K167">
        <v>52121303</v>
      </c>
      <c r="P167" t="s">
        <v>85</v>
      </c>
    </row>
    <row r="168" spans="1:16" x14ac:dyDescent="0.35">
      <c r="A168" t="str">
        <f>_xlfn.XLOOKUP(I168,Sheet3!A:A,Sheet3!B:B)</f>
        <v>HR</v>
      </c>
      <c r="B168">
        <v>27</v>
      </c>
      <c r="C168">
        <f t="shared" si="8"/>
        <v>86</v>
      </c>
      <c r="D168" t="str">
        <f t="shared" si="7"/>
        <v>HR-27-86</v>
      </c>
      <c r="E168" t="s">
        <v>267</v>
      </c>
      <c r="F168" s="4" t="s">
        <v>129</v>
      </c>
      <c r="G168" s="4" t="s">
        <v>222</v>
      </c>
      <c r="H168" s="4"/>
      <c r="I168" t="s">
        <v>85</v>
      </c>
      <c r="J168">
        <v>80111101</v>
      </c>
      <c r="K168">
        <v>61021104</v>
      </c>
      <c r="P168" t="s">
        <v>85</v>
      </c>
    </row>
    <row r="169" spans="1:16" x14ac:dyDescent="0.35">
      <c r="A169" t="str">
        <f>_xlfn.XLOOKUP(I169,Sheet3!A:A,Sheet3!B:B)</f>
        <v>HR</v>
      </c>
      <c r="B169">
        <v>27</v>
      </c>
      <c r="C169">
        <f t="shared" si="8"/>
        <v>87</v>
      </c>
      <c r="D169" t="str">
        <f t="shared" si="7"/>
        <v>HR-27-87</v>
      </c>
      <c r="E169" t="s">
        <v>267</v>
      </c>
      <c r="F169" s="4" t="s">
        <v>128</v>
      </c>
      <c r="G169" s="4" t="s">
        <v>222</v>
      </c>
      <c r="H169" s="4"/>
      <c r="I169" t="s">
        <v>85</v>
      </c>
      <c r="J169">
        <v>80111101</v>
      </c>
      <c r="K169">
        <v>61021104</v>
      </c>
      <c r="P169" t="s">
        <v>85</v>
      </c>
    </row>
    <row r="170" spans="1:16" x14ac:dyDescent="0.35">
      <c r="A170" t="str">
        <f>_xlfn.XLOOKUP(I170,Sheet3!A:A,Sheet3!B:B)</f>
        <v>HR</v>
      </c>
      <c r="B170">
        <v>27</v>
      </c>
      <c r="C170">
        <f t="shared" si="8"/>
        <v>88</v>
      </c>
      <c r="D170" t="str">
        <f t="shared" si="7"/>
        <v>HR-27-88</v>
      </c>
      <c r="E170" t="s">
        <v>267</v>
      </c>
      <c r="F170" s="4" t="s">
        <v>124</v>
      </c>
      <c r="G170" s="4" t="s">
        <v>223</v>
      </c>
      <c r="H170" s="4"/>
      <c r="I170" t="s">
        <v>85</v>
      </c>
      <c r="J170">
        <v>90111101</v>
      </c>
      <c r="K170">
        <v>61021206</v>
      </c>
      <c r="P170" t="s">
        <v>85</v>
      </c>
    </row>
    <row r="171" spans="1:16" x14ac:dyDescent="0.35">
      <c r="A171" t="str">
        <f>_xlfn.XLOOKUP(I171,Sheet3!A:A,Sheet3!B:B)</f>
        <v>HR</v>
      </c>
      <c r="B171">
        <v>27</v>
      </c>
      <c r="C171">
        <f t="shared" si="8"/>
        <v>89</v>
      </c>
      <c r="D171" t="str">
        <f t="shared" si="7"/>
        <v>HR-27-89</v>
      </c>
      <c r="E171" t="s">
        <v>267</v>
      </c>
      <c r="F171" s="4" t="s">
        <v>127</v>
      </c>
      <c r="G171" s="4" t="s">
        <v>221</v>
      </c>
      <c r="H171" s="4"/>
      <c r="I171" t="s">
        <v>85</v>
      </c>
      <c r="J171">
        <v>81111101</v>
      </c>
      <c r="K171">
        <v>52121103</v>
      </c>
      <c r="P171" t="s">
        <v>85</v>
      </c>
    </row>
    <row r="172" spans="1:16" x14ac:dyDescent="0.35">
      <c r="A172" t="str">
        <f>_xlfn.XLOOKUP(I172,Sheet3!A:A,Sheet3!B:B)</f>
        <v>HR</v>
      </c>
      <c r="B172">
        <v>27</v>
      </c>
      <c r="C172">
        <f t="shared" si="8"/>
        <v>90</v>
      </c>
      <c r="D172" t="str">
        <f t="shared" si="7"/>
        <v>HR-27-90</v>
      </c>
      <c r="E172" t="s">
        <v>267</v>
      </c>
      <c r="F172" s="4" t="s">
        <v>126</v>
      </c>
      <c r="G172" s="4" t="s">
        <v>221</v>
      </c>
      <c r="H172" s="4"/>
      <c r="I172" t="s">
        <v>85</v>
      </c>
      <c r="J172">
        <v>81111101</v>
      </c>
      <c r="K172">
        <v>52121102</v>
      </c>
      <c r="P172" t="s">
        <v>85</v>
      </c>
    </row>
    <row r="173" spans="1:16" x14ac:dyDescent="0.35">
      <c r="A173" t="str">
        <f>_xlfn.XLOOKUP(I173,Sheet3!A:A,Sheet3!B:B)</f>
        <v>HR</v>
      </c>
      <c r="B173">
        <v>27</v>
      </c>
      <c r="C173">
        <f t="shared" si="8"/>
        <v>91</v>
      </c>
      <c r="D173" t="str">
        <f t="shared" si="7"/>
        <v>HR-27-91</v>
      </c>
      <c r="E173" t="s">
        <v>267</v>
      </c>
      <c r="F173" s="4" t="s">
        <v>224</v>
      </c>
      <c r="G173" s="4" t="s">
        <v>223</v>
      </c>
      <c r="H173" s="4"/>
      <c r="I173" t="s">
        <v>85</v>
      </c>
      <c r="J173">
        <v>90111101</v>
      </c>
      <c r="K173">
        <v>52121303</v>
      </c>
      <c r="P173" t="s">
        <v>85</v>
      </c>
    </row>
    <row r="174" spans="1:16" x14ac:dyDescent="0.35">
      <c r="A174" t="str">
        <f>_xlfn.XLOOKUP(I174,Sheet3!A:A,Sheet3!B:B)</f>
        <v>HR</v>
      </c>
      <c r="B174">
        <v>27</v>
      </c>
      <c r="C174">
        <f t="shared" si="8"/>
        <v>92</v>
      </c>
      <c r="D174" t="str">
        <f t="shared" si="7"/>
        <v>HR-27-92</v>
      </c>
      <c r="E174" t="s">
        <v>267</v>
      </c>
      <c r="F174" s="5" t="s">
        <v>349</v>
      </c>
      <c r="G174" s="5" t="s">
        <v>222</v>
      </c>
      <c r="I174" t="s">
        <v>85</v>
      </c>
      <c r="J174">
        <v>80111101</v>
      </c>
      <c r="K174">
        <v>61021202</v>
      </c>
      <c r="P174" t="s">
        <v>85</v>
      </c>
    </row>
    <row r="175" spans="1:16" x14ac:dyDescent="0.35">
      <c r="A175" t="str">
        <f>_xlfn.XLOOKUP(I175,Sheet3!A:A,Sheet3!B:B)</f>
        <v>HR</v>
      </c>
      <c r="B175">
        <v>27</v>
      </c>
      <c r="C175">
        <f t="shared" si="8"/>
        <v>93</v>
      </c>
      <c r="D175" t="str">
        <f t="shared" si="7"/>
        <v>HR-27-93</v>
      </c>
      <c r="E175" t="s">
        <v>267</v>
      </c>
      <c r="F175" s="5" t="s">
        <v>349</v>
      </c>
      <c r="G175" s="5" t="s">
        <v>223</v>
      </c>
      <c r="I175" t="s">
        <v>85</v>
      </c>
      <c r="J175">
        <v>90111101</v>
      </c>
      <c r="K175">
        <v>52121202</v>
      </c>
      <c r="P175" t="s">
        <v>85</v>
      </c>
    </row>
    <row r="176" spans="1:16" x14ac:dyDescent="0.35">
      <c r="A176" t="str">
        <f>_xlfn.XLOOKUP(I176,Sheet3!A:A,Sheet3!B:B)</f>
        <v>HR</v>
      </c>
      <c r="B176">
        <v>27</v>
      </c>
      <c r="C176">
        <f t="shared" si="8"/>
        <v>94</v>
      </c>
      <c r="D176" t="str">
        <f t="shared" si="7"/>
        <v>HR-27-94</v>
      </c>
      <c r="E176" s="4" t="s">
        <v>267</v>
      </c>
      <c r="F176" s="4" t="s">
        <v>152</v>
      </c>
      <c r="G176" s="4" t="s">
        <v>223</v>
      </c>
      <c r="H176" s="4"/>
      <c r="I176" t="s">
        <v>85</v>
      </c>
      <c r="J176">
        <v>90111101</v>
      </c>
      <c r="K176">
        <v>52121309</v>
      </c>
      <c r="P176" t="s">
        <v>85</v>
      </c>
    </row>
    <row r="177" spans="1:16" x14ac:dyDescent="0.35">
      <c r="A177" t="str">
        <f>_xlfn.XLOOKUP(I177,Sheet3!A:A,Sheet3!B:B)</f>
        <v>HR</v>
      </c>
      <c r="B177">
        <v>27</v>
      </c>
      <c r="C177">
        <f t="shared" si="8"/>
        <v>95</v>
      </c>
      <c r="D177" t="str">
        <f t="shared" si="7"/>
        <v>HR-27-95</v>
      </c>
      <c r="E177" t="s">
        <v>267</v>
      </c>
      <c r="F177" s="4" t="s">
        <v>162</v>
      </c>
      <c r="G177" s="4" t="s">
        <v>223</v>
      </c>
      <c r="H177" s="4"/>
      <c r="I177" t="s">
        <v>85</v>
      </c>
      <c r="J177">
        <v>90111101</v>
      </c>
      <c r="K177">
        <v>52121301</v>
      </c>
      <c r="P177" t="s">
        <v>85</v>
      </c>
    </row>
    <row r="178" spans="1:16" x14ac:dyDescent="0.35">
      <c r="A178" t="str">
        <f>_xlfn.XLOOKUP(I178,Sheet3!A:A,Sheet3!B:B)</f>
        <v>HR</v>
      </c>
      <c r="B178">
        <v>27</v>
      </c>
      <c r="C178">
        <f t="shared" si="8"/>
        <v>96</v>
      </c>
      <c r="D178" t="str">
        <f t="shared" si="7"/>
        <v>HR-27-96</v>
      </c>
      <c r="E178" s="4" t="s">
        <v>267</v>
      </c>
      <c r="F178" s="4" t="s">
        <v>147</v>
      </c>
      <c r="G178" s="4" t="s">
        <v>221</v>
      </c>
      <c r="H178" s="4"/>
      <c r="I178" t="s">
        <v>85</v>
      </c>
      <c r="J178">
        <v>81111101</v>
      </c>
      <c r="K178">
        <v>52121306</v>
      </c>
      <c r="P178" t="s">
        <v>85</v>
      </c>
    </row>
    <row r="179" spans="1:16" x14ac:dyDescent="0.35">
      <c r="A179" t="str">
        <f>_xlfn.XLOOKUP(I179,Sheet3!A:A,Sheet3!B:B)</f>
        <v>HR</v>
      </c>
      <c r="B179">
        <v>27</v>
      </c>
      <c r="C179">
        <f t="shared" si="8"/>
        <v>97</v>
      </c>
      <c r="D179" t="str">
        <f t="shared" si="7"/>
        <v>HR-27-97</v>
      </c>
      <c r="E179" s="4" t="s">
        <v>267</v>
      </c>
      <c r="F179" s="4" t="s">
        <v>147</v>
      </c>
      <c r="G179" s="4" t="s">
        <v>222</v>
      </c>
      <c r="H179" s="4"/>
      <c r="I179" t="s">
        <v>85</v>
      </c>
      <c r="J179">
        <v>80111101</v>
      </c>
      <c r="K179">
        <v>61021307</v>
      </c>
      <c r="P179" t="s">
        <v>85</v>
      </c>
    </row>
    <row r="180" spans="1:16" x14ac:dyDescent="0.35">
      <c r="A180" t="str">
        <f>_xlfn.XLOOKUP(I180,Sheet3!A:A,Sheet3!B:B)</f>
        <v>HR</v>
      </c>
      <c r="B180">
        <v>27</v>
      </c>
      <c r="C180">
        <f t="shared" si="8"/>
        <v>98</v>
      </c>
      <c r="D180" t="str">
        <f t="shared" si="7"/>
        <v>HR-27-98</v>
      </c>
      <c r="E180" s="4" t="s">
        <v>267</v>
      </c>
      <c r="F180" s="4" t="s">
        <v>147</v>
      </c>
      <c r="G180" s="4" t="s">
        <v>223</v>
      </c>
      <c r="H180" s="4"/>
      <c r="I180" t="s">
        <v>85</v>
      </c>
      <c r="J180">
        <v>90111101</v>
      </c>
      <c r="K180">
        <v>52121306</v>
      </c>
      <c r="P180" t="s">
        <v>85</v>
      </c>
    </row>
    <row r="181" spans="1:16" x14ac:dyDescent="0.35">
      <c r="A181" t="str">
        <f>_xlfn.XLOOKUP(I181,Sheet3!A:A,Sheet3!B:B)</f>
        <v>HR</v>
      </c>
      <c r="B181">
        <v>27</v>
      </c>
      <c r="C181">
        <f t="shared" si="8"/>
        <v>99</v>
      </c>
      <c r="D181" t="str">
        <f t="shared" si="7"/>
        <v>HR-27-99</v>
      </c>
      <c r="E181" t="s">
        <v>362</v>
      </c>
      <c r="F181" s="5" t="s">
        <v>345</v>
      </c>
      <c r="I181" t="s">
        <v>85</v>
      </c>
      <c r="J181">
        <v>81111101</v>
      </c>
      <c r="K181">
        <v>52121101</v>
      </c>
      <c r="P181" t="s">
        <v>85</v>
      </c>
    </row>
    <row r="182" spans="1:16" x14ac:dyDescent="0.35">
      <c r="A182" t="str">
        <f>_xlfn.XLOOKUP(I182,Sheet3!A:A,Sheet3!B:B)</f>
        <v>HR</v>
      </c>
      <c r="B182">
        <v>27</v>
      </c>
      <c r="C182">
        <f t="shared" si="8"/>
        <v>100</v>
      </c>
      <c r="D182" t="str">
        <f t="shared" si="7"/>
        <v>HR-27-100</v>
      </c>
      <c r="E182" t="s">
        <v>362</v>
      </c>
      <c r="F182" s="5" t="s">
        <v>345</v>
      </c>
      <c r="I182" t="s">
        <v>85</v>
      </c>
      <c r="J182">
        <v>80111101</v>
      </c>
      <c r="K182">
        <v>61021102</v>
      </c>
      <c r="P182" t="s">
        <v>85</v>
      </c>
    </row>
    <row r="183" spans="1:16" x14ac:dyDescent="0.35">
      <c r="A183" t="str">
        <f>_xlfn.XLOOKUP(I183,Sheet3!A:A,Sheet3!B:B)</f>
        <v>HR</v>
      </c>
      <c r="B183">
        <v>27</v>
      </c>
      <c r="C183">
        <f t="shared" si="8"/>
        <v>101</v>
      </c>
      <c r="D183" t="str">
        <f t="shared" si="7"/>
        <v>HR-27-101</v>
      </c>
      <c r="E183" t="s">
        <v>362</v>
      </c>
      <c r="F183" s="5" t="s">
        <v>345</v>
      </c>
      <c r="I183" t="s">
        <v>85</v>
      </c>
      <c r="J183">
        <v>90111101</v>
      </c>
      <c r="K183">
        <v>52121101</v>
      </c>
      <c r="P183" t="s">
        <v>85</v>
      </c>
    </row>
    <row r="184" spans="1:16" x14ac:dyDescent="0.35">
      <c r="A184" t="str">
        <f>_xlfn.XLOOKUP(I184,Sheet3!A:A,Sheet3!B:B)</f>
        <v>HR</v>
      </c>
      <c r="B184">
        <v>27</v>
      </c>
      <c r="C184">
        <f t="shared" si="8"/>
        <v>102</v>
      </c>
      <c r="D184" t="str">
        <f t="shared" si="7"/>
        <v>HR-27-102</v>
      </c>
      <c r="E184" t="s">
        <v>362</v>
      </c>
      <c r="F184" t="s">
        <v>364</v>
      </c>
      <c r="G184" s="5" t="s">
        <v>221</v>
      </c>
      <c r="H184"/>
      <c r="I184" t="s">
        <v>85</v>
      </c>
      <c r="J184">
        <v>81111101</v>
      </c>
      <c r="K184">
        <v>52121305</v>
      </c>
      <c r="P184" t="s">
        <v>85</v>
      </c>
    </row>
    <row r="185" spans="1:16" x14ac:dyDescent="0.35">
      <c r="A185" t="str">
        <f>_xlfn.XLOOKUP(I185,Sheet3!A:A,Sheet3!B:B)</f>
        <v>HR</v>
      </c>
      <c r="B185">
        <v>27</v>
      </c>
      <c r="C185">
        <f t="shared" si="8"/>
        <v>103</v>
      </c>
      <c r="D185" t="str">
        <f t="shared" si="7"/>
        <v>HR-27-103</v>
      </c>
      <c r="E185" t="s">
        <v>362</v>
      </c>
      <c r="F185" t="s">
        <v>364</v>
      </c>
      <c r="G185" s="5" t="s">
        <v>222</v>
      </c>
      <c r="H185"/>
      <c r="I185" t="s">
        <v>85</v>
      </c>
      <c r="J185">
        <v>80111101</v>
      </c>
      <c r="K185">
        <v>61021306</v>
      </c>
      <c r="P185" t="s">
        <v>85</v>
      </c>
    </row>
    <row r="186" spans="1:16" x14ac:dyDescent="0.35">
      <c r="A186" t="str">
        <f>_xlfn.XLOOKUP(I186,Sheet3!A:A,Sheet3!B:B)</f>
        <v>HR</v>
      </c>
      <c r="B186">
        <v>27</v>
      </c>
      <c r="C186">
        <f t="shared" si="8"/>
        <v>104</v>
      </c>
      <c r="D186" t="str">
        <f t="shared" si="7"/>
        <v>HR-27-104</v>
      </c>
      <c r="E186" t="s">
        <v>362</v>
      </c>
      <c r="F186" t="s">
        <v>364</v>
      </c>
      <c r="G186" s="5" t="s">
        <v>223</v>
      </c>
      <c r="H186"/>
      <c r="I186" t="s">
        <v>85</v>
      </c>
      <c r="J186">
        <v>90111101</v>
      </c>
      <c r="K186">
        <v>52121305</v>
      </c>
      <c r="P186" t="s">
        <v>85</v>
      </c>
    </row>
    <row r="187" spans="1:16" x14ac:dyDescent="0.35">
      <c r="A187" t="str">
        <f>_xlfn.XLOOKUP(I187,Sheet3!A:A,Sheet3!B:B)</f>
        <v>HR</v>
      </c>
      <c r="B187">
        <v>27</v>
      </c>
      <c r="C187">
        <f t="shared" si="8"/>
        <v>105</v>
      </c>
      <c r="D187" t="str">
        <f t="shared" si="7"/>
        <v>HR-27-105</v>
      </c>
      <c r="E187" t="s">
        <v>362</v>
      </c>
      <c r="F187" t="s">
        <v>365</v>
      </c>
      <c r="G187" s="5" t="s">
        <v>221</v>
      </c>
      <c r="H187"/>
      <c r="I187" t="s">
        <v>85</v>
      </c>
      <c r="J187">
        <v>81111101</v>
      </c>
      <c r="K187">
        <v>52121305</v>
      </c>
      <c r="P187" t="s">
        <v>85</v>
      </c>
    </row>
    <row r="188" spans="1:16" x14ac:dyDescent="0.35">
      <c r="A188" t="str">
        <f>_xlfn.XLOOKUP(I188,Sheet3!A:A,Sheet3!B:B)</f>
        <v>HR</v>
      </c>
      <c r="B188">
        <v>27</v>
      </c>
      <c r="C188">
        <f t="shared" si="8"/>
        <v>106</v>
      </c>
      <c r="D188" t="str">
        <f t="shared" si="7"/>
        <v>HR-27-106</v>
      </c>
      <c r="E188" t="s">
        <v>362</v>
      </c>
      <c r="F188" t="s">
        <v>365</v>
      </c>
      <c r="G188" s="5" t="s">
        <v>222</v>
      </c>
      <c r="H188"/>
      <c r="I188" t="s">
        <v>85</v>
      </c>
      <c r="J188">
        <v>80111101</v>
      </c>
      <c r="K188">
        <v>61021306</v>
      </c>
      <c r="P188" t="s">
        <v>85</v>
      </c>
    </row>
    <row r="189" spans="1:16" x14ac:dyDescent="0.35">
      <c r="A189" t="str">
        <f>_xlfn.XLOOKUP(I189,Sheet3!A:A,Sheet3!B:B)</f>
        <v>HR</v>
      </c>
      <c r="B189">
        <v>27</v>
      </c>
      <c r="C189">
        <f t="shared" si="8"/>
        <v>107</v>
      </c>
      <c r="D189" t="str">
        <f t="shared" si="7"/>
        <v>HR-27-107</v>
      </c>
      <c r="E189" t="s">
        <v>362</v>
      </c>
      <c r="F189" t="s">
        <v>365</v>
      </c>
      <c r="G189" s="5" t="s">
        <v>223</v>
      </c>
      <c r="H189"/>
      <c r="I189" t="s">
        <v>85</v>
      </c>
      <c r="J189">
        <v>90111101</v>
      </c>
      <c r="K189">
        <v>52121305</v>
      </c>
      <c r="P189" t="s">
        <v>85</v>
      </c>
    </row>
    <row r="190" spans="1:16" x14ac:dyDescent="0.35">
      <c r="A190" t="str">
        <f>_xlfn.XLOOKUP(I190,Sheet3!A:A,Sheet3!B:B)</f>
        <v>HR</v>
      </c>
      <c r="B190">
        <v>27</v>
      </c>
      <c r="C190">
        <f t="shared" si="8"/>
        <v>108</v>
      </c>
      <c r="D190" t="str">
        <f t="shared" si="7"/>
        <v>HR-27-108</v>
      </c>
      <c r="E190" t="s">
        <v>362</v>
      </c>
      <c r="F190" t="s">
        <v>363</v>
      </c>
      <c r="G190" s="5" t="s">
        <v>221</v>
      </c>
      <c r="H190"/>
      <c r="I190" t="s">
        <v>85</v>
      </c>
      <c r="J190">
        <v>81111101</v>
      </c>
      <c r="K190">
        <v>52121305</v>
      </c>
      <c r="P190" t="s">
        <v>85</v>
      </c>
    </row>
    <row r="191" spans="1:16" x14ac:dyDescent="0.35">
      <c r="A191" t="str">
        <f>_xlfn.XLOOKUP(I191,Sheet3!A:A,Sheet3!B:B)</f>
        <v>HR</v>
      </c>
      <c r="B191">
        <v>27</v>
      </c>
      <c r="C191">
        <f t="shared" si="8"/>
        <v>109</v>
      </c>
      <c r="D191" t="str">
        <f t="shared" si="7"/>
        <v>HR-27-109</v>
      </c>
      <c r="E191" t="s">
        <v>362</v>
      </c>
      <c r="F191" t="s">
        <v>363</v>
      </c>
      <c r="G191" s="5" t="s">
        <v>222</v>
      </c>
      <c r="H191"/>
      <c r="I191" t="s">
        <v>85</v>
      </c>
      <c r="J191">
        <v>80111101</v>
      </c>
      <c r="K191">
        <v>61021306</v>
      </c>
      <c r="P191" t="s">
        <v>85</v>
      </c>
    </row>
    <row r="192" spans="1:16" x14ac:dyDescent="0.35">
      <c r="A192" t="str">
        <f>_xlfn.XLOOKUP(I192,Sheet3!A:A,Sheet3!B:B)</f>
        <v>HR</v>
      </c>
      <c r="B192">
        <v>27</v>
      </c>
      <c r="C192">
        <f t="shared" si="8"/>
        <v>110</v>
      </c>
      <c r="D192" t="str">
        <f t="shared" si="7"/>
        <v>HR-27-110</v>
      </c>
      <c r="E192" t="s">
        <v>362</v>
      </c>
      <c r="F192" t="s">
        <v>363</v>
      </c>
      <c r="G192" s="5" t="s">
        <v>223</v>
      </c>
      <c r="H192"/>
      <c r="I192" t="s">
        <v>85</v>
      </c>
      <c r="J192">
        <v>90111101</v>
      </c>
      <c r="K192">
        <v>52121305</v>
      </c>
      <c r="P192" t="s">
        <v>85</v>
      </c>
    </row>
    <row r="193" spans="1:16" x14ac:dyDescent="0.35">
      <c r="A193" t="str">
        <f>_xlfn.XLOOKUP(I193,Sheet3!A:A,Sheet3!B:B)</f>
        <v>HR</v>
      </c>
      <c r="B193">
        <v>27</v>
      </c>
      <c r="C193">
        <f t="shared" si="8"/>
        <v>111</v>
      </c>
      <c r="D193" t="str">
        <f t="shared" si="7"/>
        <v>HR-27-111</v>
      </c>
      <c r="E193" t="s">
        <v>362</v>
      </c>
      <c r="F193" s="5" t="s">
        <v>346</v>
      </c>
      <c r="I193" t="s">
        <v>85</v>
      </c>
      <c r="J193">
        <v>81111101</v>
      </c>
      <c r="K193">
        <v>52121104</v>
      </c>
      <c r="P193" t="s">
        <v>85</v>
      </c>
    </row>
    <row r="194" spans="1:16" x14ac:dyDescent="0.35">
      <c r="A194" t="str">
        <f>_xlfn.XLOOKUP(I194,Sheet3!A:A,Sheet3!B:B)</f>
        <v>HR</v>
      </c>
      <c r="B194">
        <v>27</v>
      </c>
      <c r="C194">
        <f t="shared" si="8"/>
        <v>112</v>
      </c>
      <c r="D194" t="str">
        <f t="shared" si="7"/>
        <v>HR-27-112</v>
      </c>
      <c r="E194" t="s">
        <v>362</v>
      </c>
      <c r="F194" s="5" t="s">
        <v>346</v>
      </c>
      <c r="I194" t="s">
        <v>85</v>
      </c>
      <c r="J194">
        <v>80111101</v>
      </c>
      <c r="K194">
        <v>61021105</v>
      </c>
      <c r="P194" t="s">
        <v>85</v>
      </c>
    </row>
    <row r="195" spans="1:16" x14ac:dyDescent="0.35">
      <c r="A195" t="str">
        <f>_xlfn.XLOOKUP(I195,Sheet3!A:A,Sheet3!B:B)</f>
        <v>HR</v>
      </c>
      <c r="B195">
        <v>27</v>
      </c>
      <c r="C195">
        <f t="shared" si="8"/>
        <v>113</v>
      </c>
      <c r="D195" t="str">
        <f t="shared" ref="D195:D258" si="9">A195&amp;-B195&amp;-C195</f>
        <v>HR-27-113</v>
      </c>
      <c r="E195" t="s">
        <v>362</v>
      </c>
      <c r="F195" s="5" t="s">
        <v>346</v>
      </c>
      <c r="I195" t="s">
        <v>85</v>
      </c>
      <c r="J195">
        <v>90111101</v>
      </c>
      <c r="K195">
        <v>52121104</v>
      </c>
      <c r="P195" t="s">
        <v>85</v>
      </c>
    </row>
    <row r="196" spans="1:16" x14ac:dyDescent="0.35">
      <c r="A196" t="str">
        <f>_xlfn.XLOOKUP(I196,Sheet3!A:A,Sheet3!B:B)</f>
        <v>HR</v>
      </c>
      <c r="B196">
        <v>27</v>
      </c>
      <c r="C196">
        <f t="shared" si="8"/>
        <v>114</v>
      </c>
      <c r="D196" t="str">
        <f t="shared" si="9"/>
        <v>HR-27-114</v>
      </c>
      <c r="E196" t="s">
        <v>362</v>
      </c>
      <c r="F196" s="5" t="s">
        <v>347</v>
      </c>
      <c r="I196" t="s">
        <v>85</v>
      </c>
      <c r="J196">
        <v>81111101</v>
      </c>
      <c r="K196">
        <v>52041495</v>
      </c>
      <c r="P196" t="s">
        <v>85</v>
      </c>
    </row>
    <row r="197" spans="1:16" x14ac:dyDescent="0.35">
      <c r="A197" t="str">
        <f>_xlfn.XLOOKUP(I197,Sheet3!A:A,Sheet3!B:B)</f>
        <v>HR</v>
      </c>
      <c r="B197">
        <v>27</v>
      </c>
      <c r="C197">
        <f t="shared" si="8"/>
        <v>115</v>
      </c>
      <c r="D197" t="str">
        <f t="shared" si="9"/>
        <v>HR-27-115</v>
      </c>
      <c r="E197" t="s">
        <v>362</v>
      </c>
      <c r="F197" s="5" t="s">
        <v>348</v>
      </c>
      <c r="G197" s="5" t="s">
        <v>222</v>
      </c>
      <c r="I197" t="s">
        <v>85</v>
      </c>
      <c r="J197">
        <v>80111101</v>
      </c>
      <c r="K197">
        <v>61021201</v>
      </c>
      <c r="P197" t="s">
        <v>85</v>
      </c>
    </row>
    <row r="198" spans="1:16" x14ac:dyDescent="0.35">
      <c r="A198" t="str">
        <f>_xlfn.XLOOKUP(I198,Sheet3!A:A,Sheet3!B:B)</f>
        <v>HR</v>
      </c>
      <c r="B198">
        <v>27</v>
      </c>
      <c r="C198">
        <f t="shared" si="8"/>
        <v>116</v>
      </c>
      <c r="D198" t="str">
        <f t="shared" si="9"/>
        <v>HR-27-116</v>
      </c>
      <c r="E198" t="s">
        <v>362</v>
      </c>
      <c r="F198" s="5" t="s">
        <v>348</v>
      </c>
      <c r="G198" s="5" t="s">
        <v>223</v>
      </c>
      <c r="I198" t="s">
        <v>85</v>
      </c>
      <c r="J198">
        <v>90111101</v>
      </c>
      <c r="K198">
        <v>52121201</v>
      </c>
      <c r="P198" t="s">
        <v>85</v>
      </c>
    </row>
    <row r="199" spans="1:16" ht="29" x14ac:dyDescent="0.35">
      <c r="A199" t="str">
        <f>_xlfn.XLOOKUP(I199,Sheet3!A:A,Sheet3!B:B)</f>
        <v>HR</v>
      </c>
      <c r="B199">
        <v>27</v>
      </c>
      <c r="C199">
        <f t="shared" si="8"/>
        <v>117</v>
      </c>
      <c r="D199" t="str">
        <f t="shared" si="9"/>
        <v>HR-27-117</v>
      </c>
      <c r="E199" t="s">
        <v>362</v>
      </c>
      <c r="F199" s="5" t="s">
        <v>350</v>
      </c>
      <c r="G199" s="5" t="s">
        <v>222</v>
      </c>
      <c r="I199" t="s">
        <v>85</v>
      </c>
      <c r="J199">
        <v>80111101</v>
      </c>
      <c r="K199">
        <v>61021203</v>
      </c>
      <c r="P199" t="s">
        <v>85</v>
      </c>
    </row>
    <row r="200" spans="1:16" ht="29" x14ac:dyDescent="0.35">
      <c r="A200" t="str">
        <f>_xlfn.XLOOKUP(I200,Sheet3!A:A,Sheet3!B:B)</f>
        <v>HR</v>
      </c>
      <c r="B200">
        <v>27</v>
      </c>
      <c r="C200">
        <f t="shared" si="8"/>
        <v>118</v>
      </c>
      <c r="D200" t="str">
        <f t="shared" si="9"/>
        <v>HR-27-118</v>
      </c>
      <c r="E200" t="s">
        <v>362</v>
      </c>
      <c r="F200" s="5" t="s">
        <v>350</v>
      </c>
      <c r="G200" s="5" t="s">
        <v>223</v>
      </c>
      <c r="I200" t="s">
        <v>85</v>
      </c>
      <c r="J200">
        <v>90111101</v>
      </c>
      <c r="K200">
        <v>52121203</v>
      </c>
      <c r="P200" t="s">
        <v>85</v>
      </c>
    </row>
    <row r="201" spans="1:16" x14ac:dyDescent="0.35">
      <c r="A201" t="str">
        <f>_xlfn.XLOOKUP(I201,Sheet3!A:A,Sheet3!B:B)</f>
        <v>HR</v>
      </c>
      <c r="B201">
        <v>27</v>
      </c>
      <c r="C201">
        <f t="shared" si="8"/>
        <v>119</v>
      </c>
      <c r="D201" t="str">
        <f t="shared" si="9"/>
        <v>HR-27-119</v>
      </c>
      <c r="E201" t="s">
        <v>269</v>
      </c>
      <c r="F201" s="5" t="s">
        <v>415</v>
      </c>
      <c r="I201" t="s">
        <v>85</v>
      </c>
      <c r="J201">
        <v>81122101</v>
      </c>
      <c r="K201">
        <v>52952101</v>
      </c>
    </row>
    <row r="202" spans="1:16" x14ac:dyDescent="0.35">
      <c r="A202" t="str">
        <f>_xlfn.XLOOKUP(I202,Sheet3!A:A,Sheet3!B:B)</f>
        <v>HR</v>
      </c>
      <c r="B202">
        <v>27</v>
      </c>
      <c r="C202">
        <f t="shared" si="8"/>
        <v>120</v>
      </c>
      <c r="D202" t="str">
        <f t="shared" si="9"/>
        <v>HR-27-120</v>
      </c>
      <c r="E202" t="s">
        <v>269</v>
      </c>
      <c r="F202" s="4" t="s">
        <v>283</v>
      </c>
      <c r="G202" s="4"/>
      <c r="H202" s="4"/>
      <c r="I202" t="s">
        <v>85</v>
      </c>
      <c r="J202">
        <v>81122101</v>
      </c>
      <c r="K202">
        <v>52952101</v>
      </c>
    </row>
    <row r="203" spans="1:16" x14ac:dyDescent="0.35">
      <c r="A203" t="str">
        <f>_xlfn.XLOOKUP(I203,Sheet3!A:A,Sheet3!B:B)</f>
        <v>HR</v>
      </c>
      <c r="B203">
        <v>27</v>
      </c>
      <c r="C203">
        <f t="shared" si="8"/>
        <v>121</v>
      </c>
      <c r="D203" t="str">
        <f t="shared" si="9"/>
        <v>HR-27-121</v>
      </c>
      <c r="E203" t="s">
        <v>269</v>
      </c>
      <c r="F203" s="4" t="s">
        <v>158</v>
      </c>
      <c r="G203" s="4"/>
      <c r="H203" s="4"/>
      <c r="I203" t="s">
        <v>85</v>
      </c>
      <c r="J203">
        <v>81122101</v>
      </c>
      <c r="K203">
        <v>52952101</v>
      </c>
    </row>
    <row r="204" spans="1:16" x14ac:dyDescent="0.35">
      <c r="A204" t="str">
        <f>_xlfn.XLOOKUP(I204,Sheet3!A:A,Sheet3!B:B)</f>
        <v>HR</v>
      </c>
      <c r="B204">
        <v>27</v>
      </c>
      <c r="C204">
        <f t="shared" si="8"/>
        <v>122</v>
      </c>
      <c r="D204" t="str">
        <f t="shared" si="9"/>
        <v>HR-27-122</v>
      </c>
      <c r="E204" t="s">
        <v>269</v>
      </c>
      <c r="F204" s="4" t="s">
        <v>155</v>
      </c>
      <c r="G204" s="4"/>
      <c r="H204" s="4"/>
      <c r="I204" t="s">
        <v>85</v>
      </c>
      <c r="J204">
        <v>81122101</v>
      </c>
      <c r="K204">
        <v>52952101</v>
      </c>
    </row>
    <row r="205" spans="1:16" ht="29" x14ac:dyDescent="0.35">
      <c r="A205" t="str">
        <f>_xlfn.XLOOKUP(I205,Sheet3!A:A,Sheet3!B:B)</f>
        <v>HR</v>
      </c>
      <c r="B205">
        <v>27</v>
      </c>
      <c r="C205">
        <f t="shared" si="8"/>
        <v>123</v>
      </c>
      <c r="D205" t="str">
        <f t="shared" si="9"/>
        <v>HR-27-123</v>
      </c>
      <c r="E205" t="s">
        <v>269</v>
      </c>
      <c r="F205" s="5" t="s">
        <v>416</v>
      </c>
      <c r="I205" t="s">
        <v>85</v>
      </c>
      <c r="J205">
        <v>81122101</v>
      </c>
      <c r="K205">
        <v>52952101</v>
      </c>
    </row>
    <row r="206" spans="1:16" x14ac:dyDescent="0.35">
      <c r="A206" t="str">
        <f>_xlfn.XLOOKUP(I206,Sheet3!A:A,Sheet3!B:B)</f>
        <v>HR</v>
      </c>
      <c r="B206">
        <v>27</v>
      </c>
      <c r="C206">
        <f t="shared" si="8"/>
        <v>124</v>
      </c>
      <c r="D206" t="str">
        <f t="shared" si="9"/>
        <v>HR-27-124</v>
      </c>
      <c r="E206" t="s">
        <v>269</v>
      </c>
      <c r="F206" s="4" t="s">
        <v>156</v>
      </c>
      <c r="G206" s="4"/>
      <c r="H206" s="4"/>
      <c r="I206" t="s">
        <v>85</v>
      </c>
      <c r="J206">
        <v>81122101</v>
      </c>
      <c r="K206">
        <v>52952101</v>
      </c>
    </row>
    <row r="207" spans="1:16" x14ac:dyDescent="0.35">
      <c r="A207" t="str">
        <f>_xlfn.XLOOKUP(I207,Sheet3!A:A,Sheet3!B:B)</f>
        <v>HR</v>
      </c>
      <c r="B207">
        <v>27</v>
      </c>
      <c r="C207">
        <f t="shared" si="8"/>
        <v>125</v>
      </c>
      <c r="D207" t="str">
        <f t="shared" si="9"/>
        <v>HR-27-125</v>
      </c>
      <c r="E207" t="s">
        <v>269</v>
      </c>
      <c r="F207" s="4" t="s">
        <v>282</v>
      </c>
      <c r="G207" s="4"/>
      <c r="H207" s="4"/>
      <c r="I207" t="s">
        <v>85</v>
      </c>
      <c r="J207">
        <v>81122101</v>
      </c>
      <c r="K207">
        <v>52952101</v>
      </c>
    </row>
    <row r="208" spans="1:16" x14ac:dyDescent="0.35">
      <c r="A208" t="str">
        <f>_xlfn.XLOOKUP(I208,Sheet3!A:A,Sheet3!B:B)</f>
        <v>HR</v>
      </c>
      <c r="B208">
        <v>27</v>
      </c>
      <c r="C208">
        <f t="shared" si="8"/>
        <v>126</v>
      </c>
      <c r="D208" t="str">
        <f t="shared" si="9"/>
        <v>HR-27-126</v>
      </c>
      <c r="E208" t="s">
        <v>269</v>
      </c>
      <c r="F208" s="4" t="s">
        <v>157</v>
      </c>
      <c r="G208" s="4"/>
      <c r="H208" s="4"/>
      <c r="I208" t="s">
        <v>85</v>
      </c>
      <c r="J208">
        <v>81122101</v>
      </c>
      <c r="K208">
        <v>52952101</v>
      </c>
    </row>
    <row r="209" spans="1:16" ht="29" x14ac:dyDescent="0.35">
      <c r="A209" t="str">
        <f>_xlfn.XLOOKUP(I209,Sheet3!A:A,Sheet3!B:B)</f>
        <v>HR</v>
      </c>
      <c r="B209">
        <v>27</v>
      </c>
      <c r="C209">
        <f t="shared" si="8"/>
        <v>127</v>
      </c>
      <c r="D209" t="str">
        <f t="shared" si="9"/>
        <v>HR-27-127</v>
      </c>
      <c r="E209" t="s">
        <v>269</v>
      </c>
      <c r="F209" s="5" t="s">
        <v>285</v>
      </c>
      <c r="I209" s="5" t="s">
        <v>85</v>
      </c>
      <c r="J209">
        <v>81134102</v>
      </c>
      <c r="K209">
        <v>52952101</v>
      </c>
    </row>
    <row r="210" spans="1:16" x14ac:dyDescent="0.35">
      <c r="A210" t="str">
        <f>_xlfn.XLOOKUP(I210,Sheet3!A:A,Sheet3!B:B)</f>
        <v>HR</v>
      </c>
      <c r="B210">
        <v>27</v>
      </c>
      <c r="C210">
        <f t="shared" si="8"/>
        <v>128</v>
      </c>
      <c r="D210" t="str">
        <f t="shared" si="9"/>
        <v>HR-27-128</v>
      </c>
      <c r="E210" t="s">
        <v>269</v>
      </c>
      <c r="F210" s="4" t="s">
        <v>159</v>
      </c>
      <c r="G210" s="4"/>
      <c r="H210" s="4"/>
      <c r="I210" t="s">
        <v>85</v>
      </c>
      <c r="J210">
        <v>81122101</v>
      </c>
      <c r="K210">
        <v>52952101</v>
      </c>
    </row>
    <row r="211" spans="1:16" x14ac:dyDescent="0.35">
      <c r="A211" t="str">
        <f>_xlfn.XLOOKUP(I211,Sheet3!A:A,Sheet3!B:B)</f>
        <v>HR</v>
      </c>
      <c r="B211">
        <v>27</v>
      </c>
      <c r="C211">
        <f t="shared" si="8"/>
        <v>129</v>
      </c>
      <c r="D211" t="str">
        <f t="shared" si="9"/>
        <v>HR-27-129</v>
      </c>
      <c r="E211" t="s">
        <v>131</v>
      </c>
      <c r="F211" s="4" t="s">
        <v>161</v>
      </c>
      <c r="G211" s="4"/>
      <c r="H211" s="4"/>
      <c r="I211" t="s">
        <v>85</v>
      </c>
      <c r="J211">
        <v>81122101</v>
      </c>
      <c r="K211">
        <v>52121315</v>
      </c>
      <c r="P211" t="s">
        <v>85</v>
      </c>
    </row>
    <row r="212" spans="1:16" x14ac:dyDescent="0.35">
      <c r="A212" t="str">
        <f>_xlfn.XLOOKUP(I212,Sheet3!A:A,Sheet3!B:B)</f>
        <v>HR</v>
      </c>
      <c r="B212">
        <v>27</v>
      </c>
      <c r="C212">
        <f t="shared" si="8"/>
        <v>130</v>
      </c>
      <c r="D212" t="str">
        <f t="shared" si="9"/>
        <v>HR-27-130</v>
      </c>
      <c r="E212" t="s">
        <v>131</v>
      </c>
      <c r="F212" s="4" t="s">
        <v>336</v>
      </c>
      <c r="G212" s="4"/>
      <c r="H212" s="4"/>
      <c r="I212" t="s">
        <v>85</v>
      </c>
      <c r="J212">
        <v>81122101</v>
      </c>
      <c r="K212">
        <v>52121315</v>
      </c>
      <c r="P212" t="s">
        <v>85</v>
      </c>
    </row>
    <row r="213" spans="1:16" x14ac:dyDescent="0.35">
      <c r="A213" t="str">
        <f>_xlfn.XLOOKUP(I213,Sheet3!A:A,Sheet3!B:B)</f>
        <v>HR</v>
      </c>
      <c r="B213">
        <v>27</v>
      </c>
      <c r="C213">
        <f t="shared" ref="C213:C227" si="10">C212+1</f>
        <v>131</v>
      </c>
      <c r="D213" t="str">
        <f t="shared" si="9"/>
        <v>HR-27-131</v>
      </c>
      <c r="E213" s="4" t="s">
        <v>131</v>
      </c>
      <c r="F213" s="4" t="s">
        <v>138</v>
      </c>
      <c r="G213" s="4"/>
      <c r="H213" s="4"/>
      <c r="I213" t="s">
        <v>85</v>
      </c>
      <c r="J213">
        <v>81122101</v>
      </c>
      <c r="K213">
        <v>52121315</v>
      </c>
      <c r="P213" t="s">
        <v>85</v>
      </c>
    </row>
    <row r="214" spans="1:16" x14ac:dyDescent="0.35">
      <c r="A214" t="str">
        <f>_xlfn.XLOOKUP(I214,Sheet3!A:A,Sheet3!B:B)</f>
        <v>HR</v>
      </c>
      <c r="B214">
        <v>27</v>
      </c>
      <c r="C214">
        <f t="shared" si="10"/>
        <v>132</v>
      </c>
      <c r="D214" t="str">
        <f t="shared" si="9"/>
        <v>HR-27-132</v>
      </c>
      <c r="E214" t="s">
        <v>131</v>
      </c>
      <c r="F214" s="4" t="s">
        <v>334</v>
      </c>
      <c r="G214" s="4"/>
      <c r="H214" s="4"/>
      <c r="I214" t="s">
        <v>85</v>
      </c>
      <c r="J214">
        <v>81122101</v>
      </c>
      <c r="K214">
        <v>52121315</v>
      </c>
      <c r="P214" t="s">
        <v>85</v>
      </c>
    </row>
    <row r="215" spans="1:16" x14ac:dyDescent="0.35">
      <c r="A215" t="str">
        <f>_xlfn.XLOOKUP(I215,Sheet3!A:A,Sheet3!B:B)</f>
        <v>HR</v>
      </c>
      <c r="B215">
        <v>27</v>
      </c>
      <c r="C215">
        <f t="shared" si="10"/>
        <v>133</v>
      </c>
      <c r="D215" t="str">
        <f t="shared" si="9"/>
        <v>HR-27-133</v>
      </c>
      <c r="E215" t="s">
        <v>131</v>
      </c>
      <c r="F215" s="4" t="s">
        <v>335</v>
      </c>
      <c r="G215" s="4"/>
      <c r="H215" s="4"/>
      <c r="I215" t="s">
        <v>85</v>
      </c>
      <c r="J215">
        <v>81122101</v>
      </c>
      <c r="K215">
        <v>52121315</v>
      </c>
      <c r="P215" t="s">
        <v>85</v>
      </c>
    </row>
    <row r="216" spans="1:16" x14ac:dyDescent="0.35">
      <c r="A216" t="str">
        <f>_xlfn.XLOOKUP(I216,Sheet3!A:A,Sheet3!B:B)</f>
        <v>HR</v>
      </c>
      <c r="B216">
        <v>27</v>
      </c>
      <c r="C216">
        <f t="shared" si="10"/>
        <v>134</v>
      </c>
      <c r="D216" t="str">
        <f t="shared" si="9"/>
        <v>HR-27-134</v>
      </c>
      <c r="E216" t="s">
        <v>131</v>
      </c>
      <c r="F216" s="4" t="s">
        <v>160</v>
      </c>
      <c r="G216" s="4"/>
      <c r="H216" s="4"/>
      <c r="I216" t="s">
        <v>85</v>
      </c>
      <c r="J216">
        <v>81122101</v>
      </c>
      <c r="K216">
        <v>52121315</v>
      </c>
      <c r="P216" t="s">
        <v>85</v>
      </c>
    </row>
    <row r="217" spans="1:16" x14ac:dyDescent="0.35">
      <c r="A217" t="str">
        <f>_xlfn.XLOOKUP(I217,Sheet3!A:A,Sheet3!B:B)</f>
        <v>HR</v>
      </c>
      <c r="B217">
        <v>27</v>
      </c>
      <c r="C217">
        <f t="shared" si="10"/>
        <v>135</v>
      </c>
      <c r="D217" t="str">
        <f t="shared" si="9"/>
        <v>HR-27-135</v>
      </c>
      <c r="E217" s="4" t="s">
        <v>131</v>
      </c>
      <c r="F217" s="4" t="s">
        <v>137</v>
      </c>
      <c r="G217" s="4"/>
      <c r="H217" s="4"/>
      <c r="I217" t="s">
        <v>85</v>
      </c>
      <c r="J217">
        <v>81122101</v>
      </c>
      <c r="K217">
        <v>52121315</v>
      </c>
      <c r="P217" t="s">
        <v>85</v>
      </c>
    </row>
    <row r="218" spans="1:16" x14ac:dyDescent="0.35">
      <c r="A218" t="str">
        <f>_xlfn.XLOOKUP(I218,Sheet3!A:A,Sheet3!B:B)</f>
        <v>HR</v>
      </c>
      <c r="B218">
        <v>27</v>
      </c>
      <c r="C218">
        <f t="shared" si="10"/>
        <v>136</v>
      </c>
      <c r="D218" t="str">
        <f t="shared" si="9"/>
        <v>HR-27-136</v>
      </c>
      <c r="E218" t="s">
        <v>131</v>
      </c>
      <c r="F218" s="4" t="s">
        <v>78</v>
      </c>
      <c r="G218" s="4"/>
      <c r="H218" s="4"/>
      <c r="I218" t="s">
        <v>85</v>
      </c>
      <c r="J218">
        <v>81122101</v>
      </c>
      <c r="K218">
        <v>52121315</v>
      </c>
      <c r="L218" t="s">
        <v>399</v>
      </c>
      <c r="M218" t="s">
        <v>400</v>
      </c>
      <c r="N218" t="s">
        <v>411</v>
      </c>
      <c r="P218" t="s">
        <v>85</v>
      </c>
    </row>
    <row r="219" spans="1:16" x14ac:dyDescent="0.35">
      <c r="A219" t="str">
        <f>_xlfn.XLOOKUP(I219,Sheet3!A:A,Sheet3!B:B)</f>
        <v>HR</v>
      </c>
      <c r="B219">
        <v>27</v>
      </c>
      <c r="C219">
        <f t="shared" si="10"/>
        <v>137</v>
      </c>
      <c r="D219" t="str">
        <f t="shared" si="9"/>
        <v>HR-27-137</v>
      </c>
      <c r="E219" t="s">
        <v>131</v>
      </c>
      <c r="F219" s="4" t="s">
        <v>139</v>
      </c>
      <c r="G219" s="4"/>
      <c r="H219" s="4"/>
      <c r="I219" t="s">
        <v>85</v>
      </c>
      <c r="J219">
        <v>81122101</v>
      </c>
      <c r="K219">
        <v>52121315</v>
      </c>
      <c r="P219" t="s">
        <v>85</v>
      </c>
    </row>
    <row r="220" spans="1:16" x14ac:dyDescent="0.35">
      <c r="A220" t="str">
        <f>_xlfn.XLOOKUP(I220,Sheet3!A:A,Sheet3!B:B)</f>
        <v>HR</v>
      </c>
      <c r="B220">
        <v>27</v>
      </c>
      <c r="C220">
        <f t="shared" si="10"/>
        <v>138</v>
      </c>
      <c r="D220" t="str">
        <f t="shared" si="9"/>
        <v>HR-27-138</v>
      </c>
      <c r="E220" t="s">
        <v>131</v>
      </c>
      <c r="F220" s="4" t="s">
        <v>140</v>
      </c>
      <c r="G220" s="4"/>
      <c r="H220" s="4"/>
      <c r="I220" t="s">
        <v>85</v>
      </c>
      <c r="J220">
        <v>81122101</v>
      </c>
      <c r="K220">
        <v>52121315</v>
      </c>
      <c r="P220" t="s">
        <v>85</v>
      </c>
    </row>
    <row r="221" spans="1:16" x14ac:dyDescent="0.35">
      <c r="A221" t="str">
        <f>_xlfn.XLOOKUP(I221,Sheet3!A:A,Sheet3!B:B)</f>
        <v>HR</v>
      </c>
      <c r="B221">
        <v>27</v>
      </c>
      <c r="C221">
        <f t="shared" si="10"/>
        <v>139</v>
      </c>
      <c r="D221" t="str">
        <f t="shared" si="9"/>
        <v>HR-27-139</v>
      </c>
      <c r="E221" t="s">
        <v>131</v>
      </c>
      <c r="F221" s="4" t="s">
        <v>136</v>
      </c>
      <c r="G221" s="4"/>
      <c r="H221" s="4"/>
      <c r="I221" t="s">
        <v>85</v>
      </c>
      <c r="J221">
        <v>81122101</v>
      </c>
      <c r="K221">
        <v>52121315</v>
      </c>
      <c r="P221" t="s">
        <v>85</v>
      </c>
    </row>
    <row r="222" spans="1:16" x14ac:dyDescent="0.35">
      <c r="A222" t="str">
        <f>_xlfn.XLOOKUP(I222,Sheet3!A:A,Sheet3!B:B)</f>
        <v>HR</v>
      </c>
      <c r="B222">
        <v>27</v>
      </c>
      <c r="C222">
        <f t="shared" si="10"/>
        <v>140</v>
      </c>
      <c r="D222" t="str">
        <f t="shared" si="9"/>
        <v>HR-27-140</v>
      </c>
      <c r="E222" t="s">
        <v>132</v>
      </c>
      <c r="F222" s="4" t="s">
        <v>142</v>
      </c>
      <c r="G222" s="4"/>
      <c r="H222" s="4"/>
      <c r="I222" t="s">
        <v>85</v>
      </c>
      <c r="J222">
        <v>81122101</v>
      </c>
      <c r="K222">
        <v>52121502</v>
      </c>
      <c r="L222" t="s">
        <v>251</v>
      </c>
    </row>
    <row r="223" spans="1:16" x14ac:dyDescent="0.35">
      <c r="A223" t="str">
        <f>_xlfn.XLOOKUP(I223,Sheet3!A:A,Sheet3!B:B)</f>
        <v>HR</v>
      </c>
      <c r="B223">
        <v>27</v>
      </c>
      <c r="C223">
        <f t="shared" si="10"/>
        <v>141</v>
      </c>
      <c r="D223" t="str">
        <f t="shared" si="9"/>
        <v>HR-27-141</v>
      </c>
      <c r="E223" t="s">
        <v>132</v>
      </c>
      <c r="F223" s="4" t="s">
        <v>141</v>
      </c>
      <c r="G223" s="4"/>
      <c r="H223" s="4"/>
      <c r="I223" t="s">
        <v>85</v>
      </c>
      <c r="J223">
        <v>81122101</v>
      </c>
      <c r="K223">
        <v>52121502</v>
      </c>
      <c r="L223" t="s">
        <v>251</v>
      </c>
    </row>
    <row r="224" spans="1:16" x14ac:dyDescent="0.35">
      <c r="A224" t="str">
        <f>_xlfn.XLOOKUP(I224,Sheet3!A:A,Sheet3!B:B)</f>
        <v>HR</v>
      </c>
      <c r="B224">
        <v>27</v>
      </c>
      <c r="C224">
        <f t="shared" si="10"/>
        <v>142</v>
      </c>
      <c r="D224" t="str">
        <f t="shared" si="9"/>
        <v>HR-27-142</v>
      </c>
      <c r="E224" t="s">
        <v>132</v>
      </c>
      <c r="F224" s="4" t="s">
        <v>414</v>
      </c>
      <c r="G224" s="4"/>
      <c r="H224" s="4"/>
      <c r="I224" t="s">
        <v>85</v>
      </c>
      <c r="J224">
        <v>81122101</v>
      </c>
      <c r="K224">
        <v>52121502</v>
      </c>
      <c r="L224" t="s">
        <v>251</v>
      </c>
    </row>
    <row r="225" spans="1:16" x14ac:dyDescent="0.35">
      <c r="A225" t="str">
        <f>_xlfn.XLOOKUP(I225,Sheet3!A:A,Sheet3!B:B)</f>
        <v>HR</v>
      </c>
      <c r="B225">
        <v>27</v>
      </c>
      <c r="C225">
        <f t="shared" si="10"/>
        <v>143</v>
      </c>
      <c r="D225" t="str">
        <f t="shared" si="9"/>
        <v>HR-27-143</v>
      </c>
      <c r="E225" t="s">
        <v>132</v>
      </c>
      <c r="F225" s="4" t="s">
        <v>144</v>
      </c>
      <c r="G225" s="4"/>
      <c r="H225" s="4"/>
      <c r="I225" t="s">
        <v>85</v>
      </c>
      <c r="J225">
        <v>81122101</v>
      </c>
      <c r="K225">
        <v>52121502</v>
      </c>
      <c r="L225" t="s">
        <v>251</v>
      </c>
    </row>
    <row r="226" spans="1:16" x14ac:dyDescent="0.35">
      <c r="A226" t="str">
        <f>_xlfn.XLOOKUP(I226,Sheet3!A:A,Sheet3!B:B)</f>
        <v>HR</v>
      </c>
      <c r="B226">
        <v>27</v>
      </c>
      <c r="C226">
        <f t="shared" si="10"/>
        <v>144</v>
      </c>
      <c r="D226" t="str">
        <f t="shared" si="9"/>
        <v>HR-27-144</v>
      </c>
      <c r="E226" t="s">
        <v>132</v>
      </c>
      <c r="F226" s="4" t="s">
        <v>143</v>
      </c>
      <c r="G226" s="4"/>
      <c r="H226" s="4"/>
      <c r="I226" t="s">
        <v>85</v>
      </c>
      <c r="J226">
        <v>81122101</v>
      </c>
      <c r="K226">
        <v>52121502</v>
      </c>
      <c r="L226" t="s">
        <v>251</v>
      </c>
    </row>
    <row r="227" spans="1:16" x14ac:dyDescent="0.35">
      <c r="A227" t="str">
        <f>_xlfn.XLOOKUP(I227,Sheet3!A:A,Sheet3!B:B)</f>
        <v>HR</v>
      </c>
      <c r="B227">
        <v>27</v>
      </c>
      <c r="C227">
        <f t="shared" si="10"/>
        <v>145</v>
      </c>
      <c r="D227" t="str">
        <f t="shared" si="9"/>
        <v>HR-27-145</v>
      </c>
      <c r="E227" t="s">
        <v>132</v>
      </c>
      <c r="F227" s="4" t="s">
        <v>145</v>
      </c>
      <c r="G227" s="4"/>
      <c r="H227" s="4"/>
      <c r="I227" t="s">
        <v>85</v>
      </c>
      <c r="J227">
        <v>81122101</v>
      </c>
      <c r="K227">
        <v>52121502</v>
      </c>
    </row>
    <row r="228" spans="1:16" x14ac:dyDescent="0.35">
      <c r="A228" t="str">
        <f>_xlfn.XLOOKUP(I228,Sheet3!A:A,Sheet3!B:B)</f>
        <v>IT</v>
      </c>
      <c r="B228">
        <v>27</v>
      </c>
      <c r="C228">
        <v>1</v>
      </c>
      <c r="D228" t="str">
        <f t="shared" si="9"/>
        <v>IT-27-1</v>
      </c>
      <c r="E228" t="s">
        <v>329</v>
      </c>
      <c r="F228" s="5" t="s">
        <v>433</v>
      </c>
      <c r="I228" s="5" t="s">
        <v>77</v>
      </c>
      <c r="J228">
        <v>81124101</v>
      </c>
      <c r="K228">
        <v>52071104</v>
      </c>
    </row>
    <row r="229" spans="1:16" x14ac:dyDescent="0.35">
      <c r="A229" t="str">
        <f>_xlfn.XLOOKUP(I229,Sheet3!A:A,Sheet3!B:B)</f>
        <v>IT</v>
      </c>
      <c r="B229">
        <v>27</v>
      </c>
      <c r="C229">
        <f>C228+1</f>
        <v>2</v>
      </c>
      <c r="D229" t="str">
        <f t="shared" si="9"/>
        <v>IT-27-2</v>
      </c>
      <c r="E229" t="s">
        <v>329</v>
      </c>
      <c r="F229" s="5" t="s">
        <v>432</v>
      </c>
      <c r="I229" s="5" t="s">
        <v>77</v>
      </c>
      <c r="J229">
        <v>81124101</v>
      </c>
      <c r="K229">
        <v>52071104</v>
      </c>
    </row>
    <row r="230" spans="1:16" x14ac:dyDescent="0.35">
      <c r="A230" t="str">
        <f>_xlfn.XLOOKUP(I230,Sheet3!A:A,Sheet3!B:B)</f>
        <v>IT</v>
      </c>
      <c r="B230">
        <v>27</v>
      </c>
      <c r="C230">
        <f t="shared" ref="C230:C292" si="11">C229+1</f>
        <v>3</v>
      </c>
      <c r="D230" t="str">
        <f t="shared" si="9"/>
        <v>IT-27-3</v>
      </c>
      <c r="E230" t="s">
        <v>329</v>
      </c>
      <c r="F230" s="5" t="s">
        <v>436</v>
      </c>
      <c r="I230" s="5" t="s">
        <v>77</v>
      </c>
      <c r="J230">
        <v>81124101</v>
      </c>
      <c r="K230">
        <v>52071104</v>
      </c>
    </row>
    <row r="231" spans="1:16" x14ac:dyDescent="0.35">
      <c r="A231" t="str">
        <f>_xlfn.XLOOKUP(I231,Sheet3!A:A,Sheet3!B:B)</f>
        <v>IT</v>
      </c>
      <c r="B231">
        <v>27</v>
      </c>
      <c r="C231">
        <f t="shared" si="11"/>
        <v>4</v>
      </c>
      <c r="D231" t="str">
        <f t="shared" si="9"/>
        <v>IT-27-4</v>
      </c>
      <c r="E231" t="s">
        <v>329</v>
      </c>
      <c r="F231" s="5" t="s">
        <v>437</v>
      </c>
      <c r="I231" s="5" t="s">
        <v>77</v>
      </c>
      <c r="J231">
        <v>81124101</v>
      </c>
      <c r="K231">
        <v>52071104</v>
      </c>
    </row>
    <row r="232" spans="1:16" x14ac:dyDescent="0.35">
      <c r="A232" t="str">
        <f>_xlfn.XLOOKUP(I232,Sheet3!A:A,Sheet3!B:B)</f>
        <v>IT</v>
      </c>
      <c r="B232">
        <v>27</v>
      </c>
      <c r="C232">
        <f t="shared" si="11"/>
        <v>5</v>
      </c>
      <c r="D232" t="str">
        <f t="shared" si="9"/>
        <v>IT-27-5</v>
      </c>
      <c r="E232" t="s">
        <v>329</v>
      </c>
      <c r="F232" s="5" t="s">
        <v>435</v>
      </c>
      <c r="I232" s="5" t="s">
        <v>77</v>
      </c>
      <c r="J232">
        <v>81124101</v>
      </c>
      <c r="K232">
        <v>52071104</v>
      </c>
    </row>
    <row r="233" spans="1:16" x14ac:dyDescent="0.35">
      <c r="A233" t="str">
        <f>_xlfn.XLOOKUP(I233,Sheet3!A:A,Sheet3!B:B)</f>
        <v>IT</v>
      </c>
      <c r="B233">
        <v>27</v>
      </c>
      <c r="C233">
        <f t="shared" si="11"/>
        <v>6</v>
      </c>
      <c r="D233" t="str">
        <f t="shared" si="9"/>
        <v>IT-27-6</v>
      </c>
      <c r="E233" t="s">
        <v>329</v>
      </c>
      <c r="F233" s="5" t="s">
        <v>434</v>
      </c>
      <c r="I233" s="5" t="s">
        <v>77</v>
      </c>
      <c r="J233">
        <v>81124101</v>
      </c>
      <c r="K233">
        <v>52071104</v>
      </c>
    </row>
    <row r="234" spans="1:16" x14ac:dyDescent="0.35">
      <c r="A234" t="str">
        <f>_xlfn.XLOOKUP(I234,Sheet3!A:A,Sheet3!B:B)</f>
        <v>IT</v>
      </c>
      <c r="B234">
        <v>27</v>
      </c>
      <c r="C234">
        <f t="shared" si="11"/>
        <v>7</v>
      </c>
      <c r="D234" t="str">
        <f t="shared" si="9"/>
        <v>IT-27-7</v>
      </c>
      <c r="E234" s="5" t="s">
        <v>293</v>
      </c>
      <c r="F234" s="5" t="s">
        <v>297</v>
      </c>
      <c r="I234" t="s">
        <v>77</v>
      </c>
      <c r="J234">
        <v>80124101</v>
      </c>
      <c r="K234">
        <v>61721105</v>
      </c>
      <c r="P234" t="s">
        <v>77</v>
      </c>
    </row>
    <row r="235" spans="1:16" x14ac:dyDescent="0.35">
      <c r="A235" t="str">
        <f>_xlfn.XLOOKUP(I235,Sheet3!A:A,Sheet3!B:B)</f>
        <v>IT</v>
      </c>
      <c r="B235">
        <v>27</v>
      </c>
      <c r="C235">
        <f t="shared" si="11"/>
        <v>8</v>
      </c>
      <c r="D235" t="str">
        <f t="shared" si="9"/>
        <v>IT-27-8</v>
      </c>
      <c r="E235" s="5" t="s">
        <v>293</v>
      </c>
      <c r="F235" s="5" t="s">
        <v>299</v>
      </c>
      <c r="I235" t="s">
        <v>77</v>
      </c>
      <c r="J235">
        <v>80124101</v>
      </c>
      <c r="K235">
        <v>61721105</v>
      </c>
      <c r="P235" t="s">
        <v>77</v>
      </c>
    </row>
    <row r="236" spans="1:16" x14ac:dyDescent="0.35">
      <c r="A236" t="str">
        <f>_xlfn.XLOOKUP(I236,Sheet3!A:A,Sheet3!B:B)</f>
        <v>IT</v>
      </c>
      <c r="B236">
        <v>27</v>
      </c>
      <c r="C236">
        <f t="shared" si="11"/>
        <v>9</v>
      </c>
      <c r="D236" t="str">
        <f t="shared" si="9"/>
        <v>IT-27-9</v>
      </c>
      <c r="E236" s="5" t="s">
        <v>293</v>
      </c>
      <c r="F236" s="5" t="s">
        <v>294</v>
      </c>
      <c r="I236" t="s">
        <v>77</v>
      </c>
      <c r="J236">
        <v>80124101</v>
      </c>
      <c r="K236">
        <v>61721105</v>
      </c>
      <c r="P236" t="s">
        <v>77</v>
      </c>
    </row>
    <row r="237" spans="1:16" x14ac:dyDescent="0.35">
      <c r="A237" t="str">
        <f>_xlfn.XLOOKUP(I237,Sheet3!A:A,Sheet3!B:B)</f>
        <v>IT</v>
      </c>
      <c r="B237">
        <v>27</v>
      </c>
      <c r="C237">
        <f t="shared" si="11"/>
        <v>10</v>
      </c>
      <c r="D237" t="str">
        <f t="shared" si="9"/>
        <v>IT-27-10</v>
      </c>
      <c r="E237" s="5" t="s">
        <v>293</v>
      </c>
      <c r="F237" s="5" t="s">
        <v>298</v>
      </c>
      <c r="I237" t="s">
        <v>77</v>
      </c>
      <c r="J237">
        <v>80124101</v>
      </c>
      <c r="K237">
        <v>61721105</v>
      </c>
      <c r="P237" t="s">
        <v>77</v>
      </c>
    </row>
    <row r="238" spans="1:16" x14ac:dyDescent="0.35">
      <c r="A238" t="str">
        <f>_xlfn.XLOOKUP(I238,Sheet3!A:A,Sheet3!B:B)</f>
        <v>IT</v>
      </c>
      <c r="B238">
        <v>27</v>
      </c>
      <c r="C238">
        <f t="shared" si="11"/>
        <v>11</v>
      </c>
      <c r="D238" t="str">
        <f t="shared" si="9"/>
        <v>IT-27-11</v>
      </c>
      <c r="E238" s="5" t="s">
        <v>293</v>
      </c>
      <c r="F238" s="5" t="s">
        <v>295</v>
      </c>
      <c r="I238" t="s">
        <v>77</v>
      </c>
      <c r="J238">
        <v>80124101</v>
      </c>
      <c r="K238">
        <v>61721105</v>
      </c>
      <c r="P238" t="s">
        <v>77</v>
      </c>
    </row>
    <row r="239" spans="1:16" x14ac:dyDescent="0.35">
      <c r="A239" t="str">
        <f>_xlfn.XLOOKUP(I239,Sheet3!A:A,Sheet3!B:B)</f>
        <v>IT</v>
      </c>
      <c r="B239">
        <v>27</v>
      </c>
      <c r="C239">
        <f t="shared" si="11"/>
        <v>12</v>
      </c>
      <c r="D239" t="str">
        <f t="shared" si="9"/>
        <v>IT-27-12</v>
      </c>
      <c r="E239" s="5" t="s">
        <v>293</v>
      </c>
      <c r="F239" s="5" t="s">
        <v>296</v>
      </c>
      <c r="I239" t="s">
        <v>77</v>
      </c>
      <c r="J239">
        <v>80124101</v>
      </c>
      <c r="K239">
        <v>61721105</v>
      </c>
      <c r="P239" t="s">
        <v>77</v>
      </c>
    </row>
    <row r="240" spans="1:16" x14ac:dyDescent="0.35">
      <c r="A240" t="str">
        <f>_xlfn.XLOOKUP(I240,Sheet3!A:A,Sheet3!B:B)</f>
        <v>IT</v>
      </c>
      <c r="B240">
        <v>27</v>
      </c>
      <c r="C240">
        <f t="shared" si="11"/>
        <v>13</v>
      </c>
      <c r="D240" t="str">
        <f t="shared" si="9"/>
        <v>IT-27-13</v>
      </c>
      <c r="E240" s="5" t="s">
        <v>293</v>
      </c>
      <c r="F240" s="5" t="s">
        <v>369</v>
      </c>
      <c r="I240" t="s">
        <v>77</v>
      </c>
      <c r="J240">
        <v>80124101</v>
      </c>
      <c r="K240">
        <v>61721105</v>
      </c>
      <c r="L240" t="s">
        <v>251</v>
      </c>
    </row>
    <row r="241" spans="1:16" x14ac:dyDescent="0.35">
      <c r="A241" t="str">
        <f>_xlfn.XLOOKUP(I241,Sheet3!A:A,Sheet3!B:B)</f>
        <v>IT</v>
      </c>
      <c r="B241">
        <v>27</v>
      </c>
      <c r="C241">
        <f t="shared" si="11"/>
        <v>14</v>
      </c>
      <c r="D241" t="str">
        <f t="shared" si="9"/>
        <v>IT-27-14</v>
      </c>
      <c r="E241" t="s">
        <v>214</v>
      </c>
      <c r="F241" s="5" t="s">
        <v>93</v>
      </c>
      <c r="H241" t="s">
        <v>207</v>
      </c>
      <c r="I241" t="s">
        <v>77</v>
      </c>
      <c r="J241">
        <v>81124101</v>
      </c>
      <c r="K241">
        <v>52952103</v>
      </c>
    </row>
    <row r="242" spans="1:16" x14ac:dyDescent="0.35">
      <c r="A242" t="str">
        <f>_xlfn.XLOOKUP(I242,Sheet3!A:A,Sheet3!B:B)</f>
        <v>IT</v>
      </c>
      <c r="B242">
        <v>27</v>
      </c>
      <c r="C242">
        <f t="shared" si="11"/>
        <v>15</v>
      </c>
      <c r="D242" t="str">
        <f t="shared" si="9"/>
        <v>IT-27-15</v>
      </c>
      <c r="E242" t="s">
        <v>208</v>
      </c>
      <c r="F242" s="5" t="s">
        <v>49</v>
      </c>
      <c r="H242" t="s">
        <v>186</v>
      </c>
      <c r="I242" t="s">
        <v>77</v>
      </c>
      <c r="J242">
        <v>81124101</v>
      </c>
      <c r="K242">
        <v>52952103</v>
      </c>
      <c r="P242" t="s">
        <v>77</v>
      </c>
    </row>
    <row r="243" spans="1:16" x14ac:dyDescent="0.35">
      <c r="A243" t="str">
        <f>_xlfn.XLOOKUP(I243,Sheet3!A:A,Sheet3!B:B)</f>
        <v>IT</v>
      </c>
      <c r="B243">
        <v>27</v>
      </c>
      <c r="C243">
        <f t="shared" si="11"/>
        <v>16</v>
      </c>
      <c r="D243" t="str">
        <f t="shared" si="9"/>
        <v>IT-27-16</v>
      </c>
      <c r="E243" t="s">
        <v>208</v>
      </c>
      <c r="F243" s="5" t="s">
        <v>48</v>
      </c>
      <c r="H243" t="s">
        <v>202</v>
      </c>
      <c r="I243" t="s">
        <v>77</v>
      </c>
      <c r="J243">
        <v>81124101</v>
      </c>
      <c r="K243">
        <v>52061109</v>
      </c>
      <c r="P243" t="s">
        <v>77</v>
      </c>
    </row>
    <row r="244" spans="1:16" x14ac:dyDescent="0.35">
      <c r="A244" t="str">
        <f>_xlfn.XLOOKUP(I244,Sheet3!A:A,Sheet3!B:B)</f>
        <v>IT</v>
      </c>
      <c r="B244">
        <v>27</v>
      </c>
      <c r="C244">
        <f t="shared" si="11"/>
        <v>17</v>
      </c>
      <c r="D244" t="str">
        <f t="shared" si="9"/>
        <v>IT-27-17</v>
      </c>
      <c r="E244" t="s">
        <v>211</v>
      </c>
      <c r="F244" s="5" t="s">
        <v>44</v>
      </c>
      <c r="H244" t="s">
        <v>199</v>
      </c>
      <c r="I244" t="s">
        <v>77</v>
      </c>
      <c r="J244">
        <v>80124101</v>
      </c>
      <c r="K244">
        <v>61711102</v>
      </c>
      <c r="P244" t="s">
        <v>77</v>
      </c>
    </row>
    <row r="245" spans="1:16" x14ac:dyDescent="0.35">
      <c r="A245" t="str">
        <f>_xlfn.XLOOKUP(I245,Sheet3!A:A,Sheet3!B:B)</f>
        <v>IT</v>
      </c>
      <c r="B245">
        <v>27</v>
      </c>
      <c r="C245">
        <f t="shared" si="11"/>
        <v>18</v>
      </c>
      <c r="D245" t="str">
        <f t="shared" si="9"/>
        <v>IT-27-18</v>
      </c>
      <c r="E245" t="s">
        <v>212</v>
      </c>
      <c r="F245" s="5" t="s">
        <v>173</v>
      </c>
      <c r="H245" t="s">
        <v>174</v>
      </c>
      <c r="I245" t="s">
        <v>77</v>
      </c>
      <c r="J245">
        <v>81124101</v>
      </c>
      <c r="K245">
        <v>52952103</v>
      </c>
      <c r="P245" t="s">
        <v>77</v>
      </c>
    </row>
    <row r="246" spans="1:16" x14ac:dyDescent="0.35">
      <c r="A246" t="str">
        <f>_xlfn.XLOOKUP(I246,Sheet3!A:A,Sheet3!B:B)</f>
        <v>IT</v>
      </c>
      <c r="B246">
        <v>27</v>
      </c>
      <c r="C246">
        <f t="shared" si="11"/>
        <v>19</v>
      </c>
      <c r="D246" t="str">
        <f t="shared" si="9"/>
        <v>IT-27-19</v>
      </c>
      <c r="E246" t="s">
        <v>212</v>
      </c>
      <c r="F246" s="5" t="s">
        <v>64</v>
      </c>
      <c r="H246" t="s">
        <v>191</v>
      </c>
      <c r="I246" t="s">
        <v>77</v>
      </c>
      <c r="J246">
        <v>80124101</v>
      </c>
      <c r="K246">
        <v>61711102</v>
      </c>
      <c r="P246" t="s">
        <v>77</v>
      </c>
    </row>
    <row r="247" spans="1:16" x14ac:dyDescent="0.35">
      <c r="A247" t="str">
        <f>_xlfn.XLOOKUP(I247,Sheet3!A:A,Sheet3!B:B)</f>
        <v>IT</v>
      </c>
      <c r="B247">
        <v>27</v>
      </c>
      <c r="C247">
        <f t="shared" si="11"/>
        <v>20</v>
      </c>
      <c r="D247" t="str">
        <f t="shared" si="9"/>
        <v>IT-27-20</v>
      </c>
      <c r="E247" t="s">
        <v>212</v>
      </c>
      <c r="F247" s="5" t="s">
        <v>52</v>
      </c>
      <c r="H247" t="s">
        <v>203</v>
      </c>
      <c r="I247" t="s">
        <v>77</v>
      </c>
      <c r="J247">
        <v>80124101</v>
      </c>
      <c r="K247">
        <v>61711102</v>
      </c>
      <c r="P247" t="s">
        <v>77</v>
      </c>
    </row>
    <row r="248" spans="1:16" x14ac:dyDescent="0.35">
      <c r="A248" t="str">
        <f>_xlfn.XLOOKUP(I248,Sheet3!A:A,Sheet3!B:B)</f>
        <v>IT</v>
      </c>
      <c r="B248">
        <v>27</v>
      </c>
      <c r="C248">
        <f t="shared" si="11"/>
        <v>21</v>
      </c>
      <c r="D248" t="str">
        <f t="shared" si="9"/>
        <v>IT-27-21</v>
      </c>
      <c r="E248" t="s">
        <v>212</v>
      </c>
      <c r="F248" s="5" t="s">
        <v>56</v>
      </c>
      <c r="H248" t="s">
        <v>206</v>
      </c>
      <c r="I248" t="s">
        <v>77</v>
      </c>
      <c r="J248">
        <v>80124101</v>
      </c>
      <c r="K248">
        <v>61711102</v>
      </c>
      <c r="P248" t="s">
        <v>77</v>
      </c>
    </row>
    <row r="249" spans="1:16" x14ac:dyDescent="0.35">
      <c r="A249" t="str">
        <f>_xlfn.XLOOKUP(I249,Sheet3!A:A,Sheet3!B:B)</f>
        <v>IT</v>
      </c>
      <c r="B249">
        <v>27</v>
      </c>
      <c r="C249">
        <f t="shared" si="11"/>
        <v>22</v>
      </c>
      <c r="D249" t="str">
        <f t="shared" si="9"/>
        <v>IT-27-22</v>
      </c>
      <c r="E249" t="s">
        <v>422</v>
      </c>
      <c r="F249" s="5" t="s">
        <v>423</v>
      </c>
      <c r="G249" s="5" t="s">
        <v>221</v>
      </c>
      <c r="I249" s="5" t="s">
        <v>77</v>
      </c>
      <c r="J249">
        <v>81124101</v>
      </c>
      <c r="K249">
        <v>52061109</v>
      </c>
    </row>
    <row r="250" spans="1:16" x14ac:dyDescent="0.35">
      <c r="A250" t="str">
        <f>_xlfn.XLOOKUP(I250,Sheet3!A:A,Sheet3!B:B)</f>
        <v>IT</v>
      </c>
      <c r="B250">
        <v>27</v>
      </c>
      <c r="C250">
        <f t="shared" si="11"/>
        <v>23</v>
      </c>
      <c r="D250" t="str">
        <f t="shared" si="9"/>
        <v>IT-27-23</v>
      </c>
      <c r="E250" t="s">
        <v>422</v>
      </c>
      <c r="F250" s="5" t="s">
        <v>423</v>
      </c>
      <c r="G250" s="5" t="s">
        <v>222</v>
      </c>
      <c r="I250" s="5" t="s">
        <v>77</v>
      </c>
      <c r="J250">
        <v>80124101</v>
      </c>
      <c r="K250">
        <v>61061105</v>
      </c>
    </row>
    <row r="251" spans="1:16" x14ac:dyDescent="0.35">
      <c r="A251" t="str">
        <f>_xlfn.XLOOKUP(I251,Sheet3!A:A,Sheet3!B:B)</f>
        <v>IT</v>
      </c>
      <c r="B251">
        <v>27</v>
      </c>
      <c r="C251">
        <f t="shared" si="11"/>
        <v>24</v>
      </c>
      <c r="D251" t="str">
        <f t="shared" si="9"/>
        <v>IT-27-24</v>
      </c>
      <c r="E251" t="s">
        <v>422</v>
      </c>
      <c r="F251" s="5" t="s">
        <v>423</v>
      </c>
      <c r="G251" s="5" t="s">
        <v>223</v>
      </c>
      <c r="I251" s="5" t="s">
        <v>77</v>
      </c>
      <c r="J251">
        <v>90124101</v>
      </c>
      <c r="K251">
        <v>61061105</v>
      </c>
    </row>
    <row r="252" spans="1:16" x14ac:dyDescent="0.35">
      <c r="A252" t="str">
        <f>_xlfn.XLOOKUP(I252,Sheet3!A:A,Sheet3!B:B)</f>
        <v>IT</v>
      </c>
      <c r="B252">
        <v>27</v>
      </c>
      <c r="C252">
        <f t="shared" si="11"/>
        <v>25</v>
      </c>
      <c r="D252" t="str">
        <f t="shared" si="9"/>
        <v>IT-27-25</v>
      </c>
      <c r="E252" t="s">
        <v>422</v>
      </c>
      <c r="F252" s="5" t="s">
        <v>424</v>
      </c>
      <c r="G252" s="5" t="s">
        <v>221</v>
      </c>
      <c r="I252" s="5" t="s">
        <v>77</v>
      </c>
      <c r="J252">
        <v>81124101</v>
      </c>
      <c r="K252">
        <v>52061109</v>
      </c>
    </row>
    <row r="253" spans="1:16" x14ac:dyDescent="0.35">
      <c r="A253" t="str">
        <f>_xlfn.XLOOKUP(I253,Sheet3!A:A,Sheet3!B:B)</f>
        <v>IT</v>
      </c>
      <c r="B253">
        <v>27</v>
      </c>
      <c r="C253">
        <f t="shared" si="11"/>
        <v>26</v>
      </c>
      <c r="D253" t="str">
        <f t="shared" si="9"/>
        <v>IT-27-26</v>
      </c>
      <c r="E253" t="s">
        <v>422</v>
      </c>
      <c r="F253" s="5" t="s">
        <v>424</v>
      </c>
      <c r="G253" s="5" t="s">
        <v>222</v>
      </c>
      <c r="I253" s="5" t="s">
        <v>77</v>
      </c>
      <c r="J253">
        <v>80124101</v>
      </c>
      <c r="K253">
        <v>61061105</v>
      </c>
    </row>
    <row r="254" spans="1:16" x14ac:dyDescent="0.35">
      <c r="A254" t="str">
        <f>_xlfn.XLOOKUP(I254,Sheet3!A:A,Sheet3!B:B)</f>
        <v>IT</v>
      </c>
      <c r="B254">
        <v>27</v>
      </c>
      <c r="C254">
        <f t="shared" si="11"/>
        <v>27</v>
      </c>
      <c r="D254" t="str">
        <f t="shared" si="9"/>
        <v>IT-27-27</v>
      </c>
      <c r="E254" t="s">
        <v>422</v>
      </c>
      <c r="F254" s="5" t="s">
        <v>424</v>
      </c>
      <c r="G254" s="5" t="s">
        <v>223</v>
      </c>
      <c r="I254" s="5" t="s">
        <v>77</v>
      </c>
      <c r="J254">
        <v>90124101</v>
      </c>
      <c r="K254">
        <v>61061105</v>
      </c>
    </row>
    <row r="255" spans="1:16" x14ac:dyDescent="0.35">
      <c r="A255" t="str">
        <f>_xlfn.XLOOKUP(I255,Sheet3!A:A,Sheet3!B:B)</f>
        <v>IT</v>
      </c>
      <c r="B255">
        <v>27</v>
      </c>
      <c r="C255">
        <f t="shared" si="11"/>
        <v>28</v>
      </c>
      <c r="D255" t="str">
        <f t="shared" si="9"/>
        <v>IT-27-28</v>
      </c>
      <c r="E255" t="s">
        <v>210</v>
      </c>
      <c r="F255" s="5" t="s">
        <v>55</v>
      </c>
      <c r="H255" t="s">
        <v>169</v>
      </c>
      <c r="I255" t="s">
        <v>77</v>
      </c>
      <c r="J255">
        <v>81124101</v>
      </c>
      <c r="K255">
        <v>52952103</v>
      </c>
      <c r="P255" t="s">
        <v>77</v>
      </c>
    </row>
    <row r="256" spans="1:16" x14ac:dyDescent="0.35">
      <c r="A256" t="str">
        <f>_xlfn.XLOOKUP(I256,Sheet3!A:A,Sheet3!B:B)</f>
        <v>IT</v>
      </c>
      <c r="B256">
        <v>27</v>
      </c>
      <c r="C256">
        <f t="shared" si="11"/>
        <v>29</v>
      </c>
      <c r="D256" t="str">
        <f t="shared" si="9"/>
        <v>IT-27-29</v>
      </c>
      <c r="E256" t="s">
        <v>210</v>
      </c>
      <c r="F256" s="5" t="s">
        <v>367</v>
      </c>
      <c r="H256" t="s">
        <v>179</v>
      </c>
      <c r="I256" t="s">
        <v>77</v>
      </c>
      <c r="J256">
        <v>80124101</v>
      </c>
      <c r="K256">
        <v>61711102</v>
      </c>
      <c r="P256" t="s">
        <v>77</v>
      </c>
    </row>
    <row r="257" spans="1:16" x14ac:dyDescent="0.35">
      <c r="A257" t="str">
        <f>_xlfn.XLOOKUP(I257,Sheet3!A:A,Sheet3!B:B)</f>
        <v>IT</v>
      </c>
      <c r="B257">
        <v>27</v>
      </c>
      <c r="C257">
        <f t="shared" si="11"/>
        <v>30</v>
      </c>
      <c r="D257" t="str">
        <f t="shared" si="9"/>
        <v>IT-27-30</v>
      </c>
      <c r="E257" t="s">
        <v>210</v>
      </c>
      <c r="F257" s="5" t="s">
        <v>74</v>
      </c>
      <c r="H257" t="s">
        <v>183</v>
      </c>
      <c r="I257" t="s">
        <v>77</v>
      </c>
      <c r="J257">
        <v>80124101</v>
      </c>
      <c r="K257">
        <v>61061105</v>
      </c>
      <c r="P257" t="s">
        <v>77</v>
      </c>
    </row>
    <row r="258" spans="1:16" ht="43.5" x14ac:dyDescent="0.35">
      <c r="A258" t="str">
        <f>_xlfn.XLOOKUP(I258,Sheet3!A:A,Sheet3!B:B)</f>
        <v>IT</v>
      </c>
      <c r="B258">
        <v>27</v>
      </c>
      <c r="C258">
        <f t="shared" si="11"/>
        <v>31</v>
      </c>
      <c r="D258" t="str">
        <f t="shared" si="9"/>
        <v>IT-27-31</v>
      </c>
      <c r="E258" t="s">
        <v>210</v>
      </c>
      <c r="F258" s="5" t="s">
        <v>57</v>
      </c>
      <c r="H258" t="s">
        <v>188</v>
      </c>
      <c r="I258" t="s">
        <v>77</v>
      </c>
      <c r="J258">
        <v>80124101</v>
      </c>
      <c r="K258">
        <v>61711102</v>
      </c>
      <c r="P258" t="s">
        <v>77</v>
      </c>
    </row>
    <row r="259" spans="1:16" ht="29" x14ac:dyDescent="0.35">
      <c r="A259" t="str">
        <f>_xlfn.XLOOKUP(I259,Sheet3!A:A,Sheet3!B:B)</f>
        <v>IT</v>
      </c>
      <c r="B259">
        <v>27</v>
      </c>
      <c r="C259">
        <f t="shared" si="11"/>
        <v>32</v>
      </c>
      <c r="D259" t="str">
        <f t="shared" ref="D259:D322" si="12">A259&amp;-B259&amp;-C259</f>
        <v>IT-27-32</v>
      </c>
      <c r="E259" t="s">
        <v>210</v>
      </c>
      <c r="F259" s="5" t="s">
        <v>60</v>
      </c>
      <c r="H259" t="s">
        <v>189</v>
      </c>
      <c r="I259" t="s">
        <v>77</v>
      </c>
      <c r="J259">
        <v>80124101</v>
      </c>
      <c r="K259">
        <v>61711102</v>
      </c>
      <c r="P259" t="s">
        <v>77</v>
      </c>
    </row>
    <row r="260" spans="1:16" x14ac:dyDescent="0.35">
      <c r="A260" t="str">
        <f>_xlfn.XLOOKUP(I260,Sheet3!A:A,Sheet3!B:B)</f>
        <v>IT</v>
      </c>
      <c r="B260">
        <v>27</v>
      </c>
      <c r="C260">
        <f t="shared" si="11"/>
        <v>33</v>
      </c>
      <c r="D260" t="str">
        <f t="shared" si="12"/>
        <v>IT-27-33</v>
      </c>
      <c r="E260" t="s">
        <v>210</v>
      </c>
      <c r="F260" s="5" t="s">
        <v>53</v>
      </c>
      <c r="H260" t="s">
        <v>190</v>
      </c>
      <c r="I260" t="s">
        <v>77</v>
      </c>
      <c r="J260">
        <v>80124101</v>
      </c>
      <c r="K260">
        <v>61711102</v>
      </c>
      <c r="P260" t="s">
        <v>77</v>
      </c>
    </row>
    <row r="261" spans="1:16" x14ac:dyDescent="0.35">
      <c r="A261" t="str">
        <f>_xlfn.XLOOKUP(I261,Sheet3!A:A,Sheet3!B:B)</f>
        <v>IT</v>
      </c>
      <c r="B261">
        <v>27</v>
      </c>
      <c r="C261">
        <f t="shared" si="11"/>
        <v>34</v>
      </c>
      <c r="D261" t="str">
        <f t="shared" si="12"/>
        <v>IT-27-34</v>
      </c>
      <c r="E261" t="s">
        <v>210</v>
      </c>
      <c r="F261" s="5" t="s">
        <v>45</v>
      </c>
      <c r="H261" t="s">
        <v>198</v>
      </c>
      <c r="I261" t="s">
        <v>77</v>
      </c>
      <c r="J261">
        <v>80124101</v>
      </c>
      <c r="K261">
        <v>61711102</v>
      </c>
      <c r="P261" t="s">
        <v>77</v>
      </c>
    </row>
    <row r="262" spans="1:16" x14ac:dyDescent="0.35">
      <c r="A262" t="str">
        <f>_xlfn.XLOOKUP(I262,Sheet3!A:A,Sheet3!B:B)</f>
        <v>IT</v>
      </c>
      <c r="B262">
        <v>27</v>
      </c>
      <c r="C262">
        <f t="shared" si="11"/>
        <v>35</v>
      </c>
      <c r="D262" t="str">
        <f t="shared" si="12"/>
        <v>IT-27-35</v>
      </c>
      <c r="E262" t="s">
        <v>210</v>
      </c>
      <c r="F262" s="5" t="s">
        <v>366</v>
      </c>
      <c r="H262"/>
      <c r="I262" t="s">
        <v>77</v>
      </c>
      <c r="J262">
        <v>80124101</v>
      </c>
      <c r="K262">
        <v>61711102</v>
      </c>
      <c r="P262" t="s">
        <v>77</v>
      </c>
    </row>
    <row r="263" spans="1:16" x14ac:dyDescent="0.35">
      <c r="A263" t="str">
        <f>_xlfn.XLOOKUP(I263,Sheet3!A:A,Sheet3!B:B)</f>
        <v>IT</v>
      </c>
      <c r="B263">
        <v>27</v>
      </c>
      <c r="C263">
        <f t="shared" si="11"/>
        <v>36</v>
      </c>
      <c r="D263" t="str">
        <f t="shared" si="12"/>
        <v>IT-27-36</v>
      </c>
      <c r="E263" t="s">
        <v>210</v>
      </c>
      <c r="F263" s="5" t="s">
        <v>46</v>
      </c>
      <c r="H263" t="s">
        <v>201</v>
      </c>
      <c r="I263" t="s">
        <v>77</v>
      </c>
      <c r="J263">
        <v>81124101</v>
      </c>
      <c r="K263">
        <v>52952103</v>
      </c>
      <c r="P263" t="s">
        <v>77</v>
      </c>
    </row>
    <row r="264" spans="1:16" x14ac:dyDescent="0.35">
      <c r="A264" t="str">
        <f>_xlfn.XLOOKUP(I264,Sheet3!A:A,Sheet3!B:B)</f>
        <v>IT</v>
      </c>
      <c r="B264">
        <v>27</v>
      </c>
      <c r="C264">
        <f t="shared" si="11"/>
        <v>37</v>
      </c>
      <c r="D264" t="str">
        <f t="shared" si="12"/>
        <v>IT-27-37</v>
      </c>
      <c r="E264" t="s">
        <v>210</v>
      </c>
      <c r="F264" s="5" t="s">
        <v>54</v>
      </c>
      <c r="H264" t="s">
        <v>205</v>
      </c>
      <c r="I264" t="s">
        <v>77</v>
      </c>
      <c r="J264">
        <v>81124101</v>
      </c>
      <c r="K264">
        <v>52952103</v>
      </c>
      <c r="P264" t="s">
        <v>77</v>
      </c>
    </row>
    <row r="265" spans="1:16" x14ac:dyDescent="0.35">
      <c r="A265" t="str">
        <f>_xlfn.XLOOKUP(I265,Sheet3!A:A,Sheet3!B:B)</f>
        <v>IT</v>
      </c>
      <c r="B265">
        <v>27</v>
      </c>
      <c r="C265">
        <f t="shared" si="11"/>
        <v>38</v>
      </c>
      <c r="D265" t="str">
        <f t="shared" si="12"/>
        <v>IT-27-38</v>
      </c>
      <c r="E265" t="s">
        <v>215</v>
      </c>
      <c r="F265" s="5" t="s">
        <v>176</v>
      </c>
      <c r="H265" t="s">
        <v>177</v>
      </c>
      <c r="I265" t="s">
        <v>77</v>
      </c>
      <c r="J265">
        <v>80124101</v>
      </c>
      <c r="K265">
        <v>61711102</v>
      </c>
      <c r="P265" t="s">
        <v>77</v>
      </c>
    </row>
    <row r="266" spans="1:16" x14ac:dyDescent="0.35">
      <c r="A266" t="str">
        <f>_xlfn.XLOOKUP(I266,Sheet3!A:A,Sheet3!B:B)</f>
        <v>IT</v>
      </c>
      <c r="B266">
        <v>27</v>
      </c>
      <c r="C266">
        <f t="shared" si="11"/>
        <v>39</v>
      </c>
      <c r="D266" t="str">
        <f t="shared" si="12"/>
        <v>IT-27-39</v>
      </c>
      <c r="E266" t="s">
        <v>213</v>
      </c>
      <c r="F266" s="5" t="s">
        <v>63</v>
      </c>
      <c r="H266" t="s">
        <v>168</v>
      </c>
      <c r="I266" t="s">
        <v>77</v>
      </c>
      <c r="J266">
        <v>81124101</v>
      </c>
      <c r="K266">
        <v>52952103</v>
      </c>
      <c r="P266" t="s">
        <v>77</v>
      </c>
    </row>
    <row r="267" spans="1:16" x14ac:dyDescent="0.35">
      <c r="A267" t="str">
        <f>_xlfn.XLOOKUP(I267,Sheet3!A:A,Sheet3!B:B)</f>
        <v>IT</v>
      </c>
      <c r="B267">
        <v>27</v>
      </c>
      <c r="C267">
        <f t="shared" si="11"/>
        <v>40</v>
      </c>
      <c r="D267" t="str">
        <f t="shared" si="12"/>
        <v>IT-27-40</v>
      </c>
      <c r="E267" t="s">
        <v>213</v>
      </c>
      <c r="F267" s="5" t="s">
        <v>66</v>
      </c>
      <c r="H267" t="s">
        <v>170</v>
      </c>
      <c r="I267" t="s">
        <v>77</v>
      </c>
      <c r="J267">
        <v>80124101</v>
      </c>
      <c r="K267">
        <v>61711102</v>
      </c>
    </row>
    <row r="268" spans="1:16" x14ac:dyDescent="0.35">
      <c r="A268" t="str">
        <f>_xlfn.XLOOKUP(I268,Sheet3!A:A,Sheet3!B:B)</f>
        <v>IT</v>
      </c>
      <c r="B268">
        <v>27</v>
      </c>
      <c r="C268">
        <f t="shared" si="11"/>
        <v>41</v>
      </c>
      <c r="D268" t="str">
        <f t="shared" si="12"/>
        <v>IT-27-41</v>
      </c>
      <c r="E268" t="s">
        <v>213</v>
      </c>
      <c r="F268" s="5" t="s">
        <v>72</v>
      </c>
      <c r="H268" t="s">
        <v>171</v>
      </c>
      <c r="I268" t="s">
        <v>77</v>
      </c>
      <c r="J268">
        <v>80124101</v>
      </c>
      <c r="K268">
        <v>61711102</v>
      </c>
    </row>
    <row r="269" spans="1:16" x14ac:dyDescent="0.35">
      <c r="A269" t="str">
        <f>_xlfn.XLOOKUP(I269,Sheet3!A:A,Sheet3!B:B)</f>
        <v>IT</v>
      </c>
      <c r="B269">
        <v>27</v>
      </c>
      <c r="C269">
        <f t="shared" si="11"/>
        <v>42</v>
      </c>
      <c r="D269" t="str">
        <f t="shared" si="12"/>
        <v>IT-27-42</v>
      </c>
      <c r="E269" t="s">
        <v>213</v>
      </c>
      <c r="F269" s="5" t="s">
        <v>67</v>
      </c>
      <c r="H269" t="s">
        <v>172</v>
      </c>
      <c r="I269" t="s">
        <v>77</v>
      </c>
      <c r="J269">
        <v>80124101</v>
      </c>
      <c r="K269">
        <v>61711102</v>
      </c>
    </row>
    <row r="270" spans="1:16" x14ac:dyDescent="0.35">
      <c r="A270" t="str">
        <f>_xlfn.XLOOKUP(I270,Sheet3!A:A,Sheet3!B:B)</f>
        <v>IT</v>
      </c>
      <c r="B270">
        <v>27</v>
      </c>
      <c r="C270">
        <f t="shared" si="11"/>
        <v>43</v>
      </c>
      <c r="D270" t="str">
        <f t="shared" si="12"/>
        <v>IT-27-43</v>
      </c>
      <c r="E270" t="s">
        <v>213</v>
      </c>
      <c r="F270" s="5" t="s">
        <v>427</v>
      </c>
      <c r="H270"/>
      <c r="I270" t="s">
        <v>77</v>
      </c>
      <c r="J270">
        <v>80124101</v>
      </c>
      <c r="K270">
        <v>61711102</v>
      </c>
    </row>
    <row r="271" spans="1:16" x14ac:dyDescent="0.35">
      <c r="A271" t="str">
        <f>_xlfn.XLOOKUP(I271,Sheet3!A:A,Sheet3!B:B)</f>
        <v>IT</v>
      </c>
      <c r="B271">
        <v>27</v>
      </c>
      <c r="C271">
        <f t="shared" si="11"/>
        <v>44</v>
      </c>
      <c r="D271" t="str">
        <f t="shared" si="12"/>
        <v>IT-27-44</v>
      </c>
      <c r="E271" t="s">
        <v>213</v>
      </c>
      <c r="F271" s="5" t="s">
        <v>429</v>
      </c>
      <c r="H271"/>
      <c r="I271" t="s">
        <v>77</v>
      </c>
      <c r="J271">
        <v>81124101</v>
      </c>
      <c r="K271">
        <v>52952103</v>
      </c>
    </row>
    <row r="272" spans="1:16" x14ac:dyDescent="0.35">
      <c r="A272" t="str">
        <f>_xlfn.XLOOKUP(I272,Sheet3!A:A,Sheet3!B:B)</f>
        <v>IT</v>
      </c>
      <c r="B272">
        <v>27</v>
      </c>
      <c r="C272">
        <f t="shared" si="11"/>
        <v>45</v>
      </c>
      <c r="D272" t="str">
        <f t="shared" si="12"/>
        <v>IT-27-45</v>
      </c>
      <c r="E272" t="s">
        <v>213</v>
      </c>
      <c r="F272" s="5" t="s">
        <v>68</v>
      </c>
      <c r="H272" t="s">
        <v>175</v>
      </c>
      <c r="I272" t="s">
        <v>77</v>
      </c>
      <c r="J272">
        <v>81124101</v>
      </c>
      <c r="K272">
        <v>52952103</v>
      </c>
    </row>
    <row r="273" spans="1:16" x14ac:dyDescent="0.35">
      <c r="A273" t="str">
        <f>_xlfn.XLOOKUP(I273,Sheet3!A:A,Sheet3!B:B)</f>
        <v>IT</v>
      </c>
      <c r="B273">
        <v>27</v>
      </c>
      <c r="C273">
        <f t="shared" si="11"/>
        <v>46</v>
      </c>
      <c r="D273" t="str">
        <f t="shared" si="12"/>
        <v>IT-27-46</v>
      </c>
      <c r="E273" t="s">
        <v>213</v>
      </c>
      <c r="F273" s="5" t="s">
        <v>431</v>
      </c>
      <c r="H273"/>
      <c r="I273" t="s">
        <v>77</v>
      </c>
      <c r="J273">
        <v>81124101</v>
      </c>
      <c r="K273">
        <v>52952103</v>
      </c>
    </row>
    <row r="274" spans="1:16" x14ac:dyDescent="0.35">
      <c r="A274" t="str">
        <f>_xlfn.XLOOKUP(I274,Sheet3!A:A,Sheet3!B:B)</f>
        <v>IT</v>
      </c>
      <c r="B274">
        <v>27</v>
      </c>
      <c r="C274">
        <f t="shared" si="11"/>
        <v>47</v>
      </c>
      <c r="D274" t="str">
        <f t="shared" si="12"/>
        <v>IT-27-47</v>
      </c>
      <c r="E274" t="s">
        <v>213</v>
      </c>
      <c r="F274" s="5" t="s">
        <v>69</v>
      </c>
      <c r="H274" t="s">
        <v>178</v>
      </c>
      <c r="I274" t="s">
        <v>77</v>
      </c>
      <c r="J274">
        <v>80124101</v>
      </c>
      <c r="K274">
        <v>61711102</v>
      </c>
    </row>
    <row r="275" spans="1:16" x14ac:dyDescent="0.35">
      <c r="A275" t="str">
        <f>_xlfn.XLOOKUP(I275,Sheet3!A:A,Sheet3!B:B)</f>
        <v>IT</v>
      </c>
      <c r="B275">
        <v>27</v>
      </c>
      <c r="C275">
        <f t="shared" si="11"/>
        <v>48</v>
      </c>
      <c r="D275" t="str">
        <f t="shared" si="12"/>
        <v>IT-27-48</v>
      </c>
      <c r="E275" t="s">
        <v>213</v>
      </c>
      <c r="F275" s="5" t="s">
        <v>240</v>
      </c>
      <c r="H275"/>
      <c r="I275" t="s">
        <v>77</v>
      </c>
      <c r="J275">
        <v>81124101</v>
      </c>
      <c r="K275">
        <v>52952103</v>
      </c>
    </row>
    <row r="276" spans="1:16" x14ac:dyDescent="0.35">
      <c r="A276" t="str">
        <f>_xlfn.XLOOKUP(I276,Sheet3!A:A,Sheet3!B:B)</f>
        <v>IT</v>
      </c>
      <c r="B276">
        <v>27</v>
      </c>
      <c r="C276">
        <f t="shared" si="11"/>
        <v>49</v>
      </c>
      <c r="D276" t="str">
        <f t="shared" si="12"/>
        <v>IT-27-49</v>
      </c>
      <c r="E276" t="s">
        <v>213</v>
      </c>
      <c r="F276" s="5" t="s">
        <v>58</v>
      </c>
      <c r="H276" t="s">
        <v>182</v>
      </c>
      <c r="I276" t="s">
        <v>77</v>
      </c>
      <c r="J276">
        <v>80124101</v>
      </c>
      <c r="K276">
        <v>61711102</v>
      </c>
      <c r="P276" t="s">
        <v>77</v>
      </c>
    </row>
    <row r="277" spans="1:16" x14ac:dyDescent="0.35">
      <c r="A277" t="str">
        <f>_xlfn.XLOOKUP(I277,Sheet3!A:A,Sheet3!B:B)</f>
        <v>IT</v>
      </c>
      <c r="B277">
        <v>27</v>
      </c>
      <c r="C277">
        <f t="shared" si="11"/>
        <v>50</v>
      </c>
      <c r="D277" t="str">
        <f t="shared" si="12"/>
        <v>IT-27-50</v>
      </c>
      <c r="E277" t="s">
        <v>213</v>
      </c>
      <c r="F277" s="5" t="s">
        <v>62</v>
      </c>
      <c r="H277" t="s">
        <v>184</v>
      </c>
      <c r="I277" t="s">
        <v>77</v>
      </c>
      <c r="J277">
        <v>80124101</v>
      </c>
      <c r="K277">
        <v>61711102</v>
      </c>
      <c r="P277" t="s">
        <v>77</v>
      </c>
    </row>
    <row r="278" spans="1:16" x14ac:dyDescent="0.35">
      <c r="A278" t="str">
        <f>_xlfn.XLOOKUP(I278,Sheet3!A:A,Sheet3!B:B)</f>
        <v>IT</v>
      </c>
      <c r="B278">
        <v>27</v>
      </c>
      <c r="C278">
        <f t="shared" si="11"/>
        <v>51</v>
      </c>
      <c r="D278" t="str">
        <f t="shared" si="12"/>
        <v>IT-27-51</v>
      </c>
      <c r="E278" t="s">
        <v>213</v>
      </c>
      <c r="F278" s="5" t="s">
        <v>73</v>
      </c>
      <c r="H278" t="s">
        <v>185</v>
      </c>
      <c r="I278" t="s">
        <v>77</v>
      </c>
      <c r="J278">
        <v>81124101</v>
      </c>
      <c r="K278">
        <v>52952103</v>
      </c>
    </row>
    <row r="279" spans="1:16" x14ac:dyDescent="0.35">
      <c r="A279" t="str">
        <f>_xlfn.XLOOKUP(I279,Sheet3!A:A,Sheet3!B:B)</f>
        <v>IT</v>
      </c>
      <c r="B279">
        <v>27</v>
      </c>
      <c r="C279">
        <f t="shared" si="11"/>
        <v>52</v>
      </c>
      <c r="D279" t="str">
        <f t="shared" si="12"/>
        <v>IT-27-52</v>
      </c>
      <c r="E279" t="s">
        <v>213</v>
      </c>
      <c r="F279" s="5" t="s">
        <v>47</v>
      </c>
      <c r="H279" t="s">
        <v>187</v>
      </c>
      <c r="I279" t="s">
        <v>77</v>
      </c>
      <c r="J279">
        <v>80124101</v>
      </c>
      <c r="K279">
        <v>61711102</v>
      </c>
      <c r="P279" t="s">
        <v>77</v>
      </c>
    </row>
    <row r="280" spans="1:16" x14ac:dyDescent="0.35">
      <c r="A280" t="str">
        <f>_xlfn.XLOOKUP(I280,Sheet3!A:A,Sheet3!B:B)</f>
        <v>IT</v>
      </c>
      <c r="B280">
        <v>27</v>
      </c>
      <c r="C280">
        <f t="shared" si="11"/>
        <v>53</v>
      </c>
      <c r="D280" t="str">
        <f t="shared" si="12"/>
        <v>IT-27-53</v>
      </c>
      <c r="E280" t="s">
        <v>213</v>
      </c>
      <c r="F280" s="5" t="s">
        <v>71</v>
      </c>
      <c r="H280" t="s">
        <v>192</v>
      </c>
      <c r="I280" t="s">
        <v>77</v>
      </c>
      <c r="J280">
        <v>80124101</v>
      </c>
      <c r="K280">
        <v>61711102</v>
      </c>
    </row>
    <row r="281" spans="1:16" x14ac:dyDescent="0.35">
      <c r="A281" t="str">
        <f>_xlfn.XLOOKUP(I281,Sheet3!A:A,Sheet3!B:B)</f>
        <v>IT</v>
      </c>
      <c r="B281">
        <v>27</v>
      </c>
      <c r="C281">
        <f t="shared" si="11"/>
        <v>54</v>
      </c>
      <c r="D281" t="str">
        <f t="shared" si="12"/>
        <v>IT-27-54</v>
      </c>
      <c r="E281" t="s">
        <v>213</v>
      </c>
      <c r="F281" s="5" t="s">
        <v>428</v>
      </c>
      <c r="H281"/>
      <c r="I281" t="s">
        <v>77</v>
      </c>
      <c r="J281">
        <v>81124101</v>
      </c>
      <c r="K281">
        <v>52952103</v>
      </c>
    </row>
    <row r="282" spans="1:16" x14ac:dyDescent="0.35">
      <c r="A282" t="str">
        <f>_xlfn.XLOOKUP(I282,Sheet3!A:A,Sheet3!B:B)</f>
        <v>IT</v>
      </c>
      <c r="B282">
        <v>27</v>
      </c>
      <c r="C282">
        <f t="shared" si="11"/>
        <v>55</v>
      </c>
      <c r="D282" t="str">
        <f t="shared" si="12"/>
        <v>IT-27-55</v>
      </c>
      <c r="E282" t="s">
        <v>213</v>
      </c>
      <c r="F282" s="5" t="s">
        <v>417</v>
      </c>
      <c r="H282" t="s">
        <v>193</v>
      </c>
      <c r="I282" t="s">
        <v>77</v>
      </c>
      <c r="J282">
        <v>81124101</v>
      </c>
      <c r="K282">
        <v>52952103</v>
      </c>
      <c r="P282" t="s">
        <v>77</v>
      </c>
    </row>
    <row r="283" spans="1:16" x14ac:dyDescent="0.35">
      <c r="A283" t="str">
        <f>_xlfn.XLOOKUP(I283,Sheet3!A:A,Sheet3!B:B)</f>
        <v>IT</v>
      </c>
      <c r="B283">
        <v>27</v>
      </c>
      <c r="C283">
        <f t="shared" si="11"/>
        <v>56</v>
      </c>
      <c r="D283" t="str">
        <f t="shared" si="12"/>
        <v>IT-27-56</v>
      </c>
      <c r="E283" t="s">
        <v>213</v>
      </c>
      <c r="F283" s="5" t="s">
        <v>51</v>
      </c>
      <c r="H283" t="s">
        <v>194</v>
      </c>
      <c r="I283" t="s">
        <v>77</v>
      </c>
      <c r="J283">
        <v>80124101</v>
      </c>
      <c r="K283">
        <v>61711102</v>
      </c>
      <c r="P283" t="s">
        <v>77</v>
      </c>
    </row>
    <row r="284" spans="1:16" ht="29" x14ac:dyDescent="0.35">
      <c r="A284" t="str">
        <f>_xlfn.XLOOKUP(I284,Sheet3!A:A,Sheet3!B:B)</f>
        <v>IT</v>
      </c>
      <c r="B284">
        <v>27</v>
      </c>
      <c r="C284">
        <f t="shared" si="11"/>
        <v>57</v>
      </c>
      <c r="D284" t="str">
        <f t="shared" si="12"/>
        <v>IT-27-57</v>
      </c>
      <c r="E284" t="s">
        <v>213</v>
      </c>
      <c r="F284" s="5" t="s">
        <v>50</v>
      </c>
      <c r="H284" t="s">
        <v>195</v>
      </c>
      <c r="I284" t="s">
        <v>77</v>
      </c>
      <c r="J284">
        <v>80124101</v>
      </c>
      <c r="K284">
        <v>61711102</v>
      </c>
      <c r="P284" t="s">
        <v>77</v>
      </c>
    </row>
    <row r="285" spans="1:16" x14ac:dyDescent="0.35">
      <c r="A285" t="str">
        <f>_xlfn.XLOOKUP(I285,Sheet3!A:A,Sheet3!B:B)</f>
        <v>IT</v>
      </c>
      <c r="B285">
        <v>27</v>
      </c>
      <c r="C285">
        <f t="shared" si="11"/>
        <v>58</v>
      </c>
      <c r="D285" t="str">
        <f t="shared" si="12"/>
        <v>IT-27-58</v>
      </c>
      <c r="E285" t="s">
        <v>213</v>
      </c>
      <c r="F285" s="5" t="s">
        <v>59</v>
      </c>
      <c r="H285" t="s">
        <v>196</v>
      </c>
      <c r="I285" t="s">
        <v>77</v>
      </c>
      <c r="J285">
        <v>80124101</v>
      </c>
      <c r="K285">
        <v>61711102</v>
      </c>
    </row>
    <row r="286" spans="1:16" x14ac:dyDescent="0.35">
      <c r="A286" t="str">
        <f>_xlfn.XLOOKUP(I286,Sheet3!A:A,Sheet3!B:B)</f>
        <v>IT</v>
      </c>
      <c r="B286">
        <v>27</v>
      </c>
      <c r="C286">
        <f t="shared" si="11"/>
        <v>59</v>
      </c>
      <c r="D286" t="str">
        <f t="shared" si="12"/>
        <v>IT-27-59</v>
      </c>
      <c r="E286" t="s">
        <v>213</v>
      </c>
      <c r="F286" s="5" t="s">
        <v>75</v>
      </c>
      <c r="H286" t="s">
        <v>197</v>
      </c>
      <c r="I286" t="s">
        <v>77</v>
      </c>
      <c r="J286">
        <v>80124101</v>
      </c>
      <c r="K286">
        <v>61711102</v>
      </c>
    </row>
    <row r="287" spans="1:16" x14ac:dyDescent="0.35">
      <c r="A287" t="str">
        <f>_xlfn.XLOOKUP(I287,Sheet3!A:A,Sheet3!B:B)</f>
        <v>IT</v>
      </c>
      <c r="B287">
        <v>27</v>
      </c>
      <c r="C287">
        <f t="shared" si="11"/>
        <v>60</v>
      </c>
      <c r="D287" t="str">
        <f t="shared" si="12"/>
        <v>IT-27-60</v>
      </c>
      <c r="E287" t="s">
        <v>213</v>
      </c>
      <c r="F287" s="5" t="s">
        <v>65</v>
      </c>
      <c r="H287"/>
      <c r="I287" t="s">
        <v>77</v>
      </c>
      <c r="J287">
        <v>80124101</v>
      </c>
      <c r="K287">
        <v>61711102</v>
      </c>
      <c r="P287" t="s">
        <v>77</v>
      </c>
    </row>
    <row r="288" spans="1:16" x14ac:dyDescent="0.35">
      <c r="A288" t="str">
        <f>_xlfn.XLOOKUP(I288,Sheet3!A:A,Sheet3!B:B)</f>
        <v>IT</v>
      </c>
      <c r="B288">
        <v>27</v>
      </c>
      <c r="C288">
        <f t="shared" si="11"/>
        <v>61</v>
      </c>
      <c r="D288" t="str">
        <f t="shared" si="12"/>
        <v>IT-27-61</v>
      </c>
      <c r="E288" t="s">
        <v>213</v>
      </c>
      <c r="F288" s="5" t="s">
        <v>430</v>
      </c>
      <c r="H288"/>
      <c r="I288" t="s">
        <v>77</v>
      </c>
      <c r="J288">
        <v>81124101</v>
      </c>
      <c r="K288">
        <v>52952103</v>
      </c>
    </row>
    <row r="289" spans="1:16" x14ac:dyDescent="0.35">
      <c r="A289" t="str">
        <f>_xlfn.XLOOKUP(I289,Sheet3!A:A,Sheet3!B:B)</f>
        <v>IT</v>
      </c>
      <c r="B289">
        <v>27</v>
      </c>
      <c r="C289">
        <f t="shared" si="11"/>
        <v>62</v>
      </c>
      <c r="D289" t="str">
        <f t="shared" si="12"/>
        <v>IT-27-62</v>
      </c>
      <c r="E289" t="s">
        <v>213</v>
      </c>
      <c r="F289" s="5" t="s">
        <v>70</v>
      </c>
      <c r="H289" t="s">
        <v>200</v>
      </c>
      <c r="I289" t="s">
        <v>77</v>
      </c>
      <c r="J289">
        <v>80124101</v>
      </c>
      <c r="K289">
        <v>61711102</v>
      </c>
    </row>
    <row r="290" spans="1:16" x14ac:dyDescent="0.35">
      <c r="A290" t="str">
        <f>_xlfn.XLOOKUP(I290,Sheet3!A:A,Sheet3!B:B)</f>
        <v>IT</v>
      </c>
      <c r="B290">
        <v>27</v>
      </c>
      <c r="C290">
        <f t="shared" si="11"/>
        <v>63</v>
      </c>
      <c r="D290" t="str">
        <f t="shared" si="12"/>
        <v>IT-27-63</v>
      </c>
      <c r="E290" t="s">
        <v>213</v>
      </c>
      <c r="F290" s="5" t="s">
        <v>76</v>
      </c>
      <c r="H290" t="s">
        <v>204</v>
      </c>
      <c r="I290" t="s">
        <v>77</v>
      </c>
      <c r="J290">
        <v>81124101</v>
      </c>
      <c r="K290">
        <v>52952103</v>
      </c>
    </row>
    <row r="291" spans="1:16" x14ac:dyDescent="0.35">
      <c r="A291" t="str">
        <f>_xlfn.XLOOKUP(I291,Sheet3!A:A,Sheet3!B:B)</f>
        <v>IT</v>
      </c>
      <c r="B291">
        <v>27</v>
      </c>
      <c r="C291">
        <f t="shared" si="11"/>
        <v>64</v>
      </c>
      <c r="D291" t="str">
        <f t="shared" si="12"/>
        <v>IT-27-64</v>
      </c>
      <c r="E291" t="s">
        <v>213</v>
      </c>
      <c r="F291" s="5" t="s">
        <v>61</v>
      </c>
      <c r="H291"/>
      <c r="I291" t="s">
        <v>77</v>
      </c>
      <c r="J291">
        <v>80124101</v>
      </c>
      <c r="K291">
        <v>61711102</v>
      </c>
    </row>
    <row r="292" spans="1:16" x14ac:dyDescent="0.35">
      <c r="A292" t="str">
        <f>_xlfn.XLOOKUP(I292,Sheet3!A:A,Sheet3!B:B)</f>
        <v>IT</v>
      </c>
      <c r="B292">
        <v>27</v>
      </c>
      <c r="C292">
        <f t="shared" si="11"/>
        <v>65</v>
      </c>
      <c r="D292" t="str">
        <f t="shared" si="12"/>
        <v>IT-27-65</v>
      </c>
      <c r="E292" t="s">
        <v>209</v>
      </c>
      <c r="F292" s="5" t="s">
        <v>180</v>
      </c>
      <c r="H292" t="s">
        <v>181</v>
      </c>
      <c r="I292" t="s">
        <v>77</v>
      </c>
      <c r="J292">
        <v>81124101</v>
      </c>
      <c r="K292">
        <v>52952103</v>
      </c>
      <c r="P292" t="s">
        <v>77</v>
      </c>
    </row>
    <row r="293" spans="1:16" x14ac:dyDescent="0.35">
      <c r="A293" t="str">
        <f>_xlfn.XLOOKUP(I293,Sheet3!A:A,Sheet3!B:B)</f>
        <v>LG</v>
      </c>
      <c r="B293">
        <v>27</v>
      </c>
      <c r="C293">
        <v>1</v>
      </c>
      <c r="D293" t="str">
        <f t="shared" si="12"/>
        <v>LG-27-1</v>
      </c>
      <c r="E293" t="s">
        <v>337</v>
      </c>
      <c r="F293" s="5" t="s">
        <v>338</v>
      </c>
      <c r="I293" t="s">
        <v>327</v>
      </c>
      <c r="J293">
        <v>80123101</v>
      </c>
      <c r="K293">
        <v>61071002</v>
      </c>
      <c r="P293" t="s">
        <v>327</v>
      </c>
    </row>
    <row r="294" spans="1:16" x14ac:dyDescent="0.35">
      <c r="A294" t="str">
        <f>_xlfn.XLOOKUP(I294,Sheet3!A:A,Sheet3!B:B)</f>
        <v>LG</v>
      </c>
      <c r="B294">
        <v>27</v>
      </c>
      <c r="C294">
        <f>C293+1</f>
        <v>2</v>
      </c>
      <c r="D294" t="str">
        <f t="shared" si="12"/>
        <v>LG-27-2</v>
      </c>
      <c r="E294" t="s">
        <v>337</v>
      </c>
      <c r="F294" s="5" t="s">
        <v>338</v>
      </c>
      <c r="I294" t="s">
        <v>327</v>
      </c>
      <c r="J294">
        <v>90123101</v>
      </c>
      <c r="K294">
        <v>61071002</v>
      </c>
      <c r="P294" t="s">
        <v>327</v>
      </c>
    </row>
    <row r="295" spans="1:16" x14ac:dyDescent="0.35">
      <c r="A295" t="str">
        <f>_xlfn.XLOOKUP(I295,Sheet3!A:A,Sheet3!B:B)</f>
        <v>LG</v>
      </c>
      <c r="B295">
        <v>27</v>
      </c>
      <c r="C295">
        <f t="shared" ref="C295:C304" si="13">C294+1</f>
        <v>3</v>
      </c>
      <c r="D295" t="str">
        <f t="shared" si="12"/>
        <v>LG-27-3</v>
      </c>
      <c r="E295" t="s">
        <v>337</v>
      </c>
      <c r="F295" s="5" t="s">
        <v>338</v>
      </c>
      <c r="I295" t="s">
        <v>327</v>
      </c>
      <c r="J295">
        <v>81123101</v>
      </c>
      <c r="K295">
        <v>52071102</v>
      </c>
      <c r="P295" t="s">
        <v>327</v>
      </c>
    </row>
    <row r="296" spans="1:16" x14ac:dyDescent="0.35">
      <c r="A296" t="str">
        <f>_xlfn.XLOOKUP(I296,Sheet3!A:A,Sheet3!B:B)</f>
        <v>LG</v>
      </c>
      <c r="B296">
        <v>27</v>
      </c>
      <c r="C296">
        <f t="shared" si="13"/>
        <v>4</v>
      </c>
      <c r="D296" t="str">
        <f t="shared" si="12"/>
        <v>LG-27-4</v>
      </c>
      <c r="E296" t="s">
        <v>337</v>
      </c>
      <c r="F296" t="s">
        <v>339</v>
      </c>
      <c r="I296" t="s">
        <v>327</v>
      </c>
      <c r="J296">
        <v>80123101</v>
      </c>
      <c r="K296">
        <v>61071005</v>
      </c>
      <c r="P296" t="s">
        <v>327</v>
      </c>
    </row>
    <row r="297" spans="1:16" x14ac:dyDescent="0.35">
      <c r="A297" t="str">
        <f>_xlfn.XLOOKUP(I297,Sheet3!A:A,Sheet3!B:B)</f>
        <v>LG</v>
      </c>
      <c r="B297">
        <v>27</v>
      </c>
      <c r="C297">
        <f t="shared" si="13"/>
        <v>5</v>
      </c>
      <c r="D297" t="str">
        <f t="shared" si="12"/>
        <v>LG-27-5</v>
      </c>
      <c r="E297" t="s">
        <v>337</v>
      </c>
      <c r="F297" t="s">
        <v>340</v>
      </c>
      <c r="I297" t="s">
        <v>327</v>
      </c>
      <c r="J297">
        <v>80123101</v>
      </c>
      <c r="K297">
        <v>61071005</v>
      </c>
      <c r="P297" t="s">
        <v>327</v>
      </c>
    </row>
    <row r="298" spans="1:16" x14ac:dyDescent="0.35">
      <c r="A298" t="str">
        <f>_xlfn.XLOOKUP(I298,Sheet3!A:A,Sheet3!B:B)</f>
        <v>LG</v>
      </c>
      <c r="B298">
        <v>27</v>
      </c>
      <c r="C298">
        <f t="shared" si="13"/>
        <v>6</v>
      </c>
      <c r="D298" t="str">
        <f t="shared" si="12"/>
        <v>LG-27-6</v>
      </c>
      <c r="E298" t="s">
        <v>337</v>
      </c>
      <c r="F298" t="s">
        <v>341</v>
      </c>
      <c r="I298" t="s">
        <v>327</v>
      </c>
      <c r="J298">
        <v>80123101</v>
      </c>
      <c r="K298">
        <v>61071005</v>
      </c>
      <c r="P298" t="s">
        <v>327</v>
      </c>
    </row>
    <row r="299" spans="1:16" x14ac:dyDescent="0.35">
      <c r="A299" t="str">
        <f>_xlfn.XLOOKUP(I299,Sheet3!A:A,Sheet3!B:B)</f>
        <v>LG</v>
      </c>
      <c r="B299">
        <v>27</v>
      </c>
      <c r="C299">
        <f t="shared" si="13"/>
        <v>7</v>
      </c>
      <c r="D299" t="str">
        <f t="shared" si="12"/>
        <v>LG-27-7</v>
      </c>
      <c r="E299" t="s">
        <v>337</v>
      </c>
      <c r="F299" t="s">
        <v>342</v>
      </c>
      <c r="I299" t="s">
        <v>327</v>
      </c>
      <c r="J299">
        <v>80123101</v>
      </c>
      <c r="K299">
        <v>61071005</v>
      </c>
      <c r="P299" t="s">
        <v>327</v>
      </c>
    </row>
    <row r="300" spans="1:16" x14ac:dyDescent="0.35">
      <c r="A300" t="str">
        <f>_xlfn.XLOOKUP(I300,Sheet3!A:A,Sheet3!B:B)</f>
        <v>LG</v>
      </c>
      <c r="B300">
        <v>27</v>
      </c>
      <c r="C300">
        <f t="shared" si="13"/>
        <v>8</v>
      </c>
      <c r="D300" t="str">
        <f t="shared" si="12"/>
        <v>LG-27-8</v>
      </c>
      <c r="E300" t="s">
        <v>337</v>
      </c>
      <c r="F300" t="s">
        <v>343</v>
      </c>
      <c r="I300" t="s">
        <v>327</v>
      </c>
      <c r="J300">
        <v>80123101</v>
      </c>
      <c r="K300">
        <v>61071005</v>
      </c>
      <c r="P300" t="s">
        <v>327</v>
      </c>
    </row>
    <row r="301" spans="1:16" x14ac:dyDescent="0.35">
      <c r="A301" t="str">
        <f>_xlfn.XLOOKUP(I301,Sheet3!A:A,Sheet3!B:B)</f>
        <v>LG</v>
      </c>
      <c r="B301">
        <v>27</v>
      </c>
      <c r="C301">
        <f t="shared" si="13"/>
        <v>9</v>
      </c>
      <c r="D301" t="str">
        <f t="shared" si="12"/>
        <v>LG-27-9</v>
      </c>
      <c r="E301" s="5" t="s">
        <v>326</v>
      </c>
      <c r="F301" s="5" t="s">
        <v>326</v>
      </c>
      <c r="I301" t="s">
        <v>327</v>
      </c>
      <c r="J301">
        <v>80123101</v>
      </c>
      <c r="K301">
        <v>61071099</v>
      </c>
    </row>
    <row r="302" spans="1:16" x14ac:dyDescent="0.35">
      <c r="A302" t="str">
        <f>_xlfn.XLOOKUP(I302,Sheet3!A:A,Sheet3!B:B)</f>
        <v>LG</v>
      </c>
      <c r="B302">
        <v>27</v>
      </c>
      <c r="C302">
        <f t="shared" si="13"/>
        <v>10</v>
      </c>
      <c r="D302" t="str">
        <f t="shared" si="12"/>
        <v>LG-27-10</v>
      </c>
      <c r="E302" t="s">
        <v>269</v>
      </c>
      <c r="F302" s="5" t="s">
        <v>286</v>
      </c>
      <c r="I302" s="5" t="s">
        <v>327</v>
      </c>
      <c r="J302">
        <v>80123101</v>
      </c>
      <c r="K302">
        <v>61711101</v>
      </c>
      <c r="P302" t="s">
        <v>327</v>
      </c>
    </row>
    <row r="303" spans="1:16" ht="29" x14ac:dyDescent="0.35">
      <c r="A303" t="str">
        <f>_xlfn.XLOOKUP(I303,Sheet3!A:A,Sheet3!B:B)</f>
        <v>LG</v>
      </c>
      <c r="B303">
        <v>27</v>
      </c>
      <c r="C303">
        <f t="shared" si="13"/>
        <v>11</v>
      </c>
      <c r="D303" t="str">
        <f t="shared" si="12"/>
        <v>LG-27-11</v>
      </c>
      <c r="E303" t="s">
        <v>269</v>
      </c>
      <c r="F303" s="5" t="s">
        <v>287</v>
      </c>
      <c r="I303" s="5" t="s">
        <v>327</v>
      </c>
      <c r="J303">
        <v>90123101</v>
      </c>
      <c r="K303">
        <v>61711101</v>
      </c>
      <c r="P303" t="s">
        <v>327</v>
      </c>
    </row>
    <row r="304" spans="1:16" x14ac:dyDescent="0.35">
      <c r="A304" t="str">
        <f>_xlfn.XLOOKUP(I304,Sheet3!A:A,Sheet3!B:B)</f>
        <v>LG</v>
      </c>
      <c r="B304">
        <v>27</v>
      </c>
      <c r="C304">
        <f t="shared" si="13"/>
        <v>12</v>
      </c>
      <c r="D304" t="str">
        <f t="shared" si="12"/>
        <v>LG-27-12</v>
      </c>
      <c r="E304" t="s">
        <v>269</v>
      </c>
      <c r="F304" s="5" t="s">
        <v>288</v>
      </c>
      <c r="I304" s="5" t="s">
        <v>327</v>
      </c>
      <c r="J304">
        <v>90122101</v>
      </c>
      <c r="K304">
        <v>61711101</v>
      </c>
      <c r="P304" t="s">
        <v>327</v>
      </c>
    </row>
    <row r="305" spans="1:16" x14ac:dyDescent="0.35">
      <c r="A305" t="str">
        <f>_xlfn.XLOOKUP(I305,Sheet3!A:A,Sheet3!B:B)</f>
        <v>CF</v>
      </c>
      <c r="B305">
        <v>27</v>
      </c>
      <c r="C305">
        <v>1</v>
      </c>
      <c r="D305" t="str">
        <f t="shared" si="12"/>
        <v>CF-27-1</v>
      </c>
      <c r="E305" s="5" t="s">
        <v>290</v>
      </c>
      <c r="F305" s="5" t="s">
        <v>290</v>
      </c>
      <c r="G305" s="5" t="s">
        <v>221</v>
      </c>
      <c r="I305" s="5" t="s">
        <v>292</v>
      </c>
      <c r="J305">
        <v>81111204</v>
      </c>
      <c r="K305">
        <v>52091102</v>
      </c>
    </row>
    <row r="306" spans="1:16" x14ac:dyDescent="0.35">
      <c r="A306" t="str">
        <f>_xlfn.XLOOKUP(I306,Sheet3!A:A,Sheet3!B:B)</f>
        <v>CF</v>
      </c>
      <c r="B306">
        <v>27</v>
      </c>
      <c r="C306">
        <f>C305+1</f>
        <v>2</v>
      </c>
      <c r="D306" t="str">
        <f t="shared" si="12"/>
        <v>CF-27-2</v>
      </c>
      <c r="E306" s="5" t="s">
        <v>290</v>
      </c>
      <c r="F306" s="5" t="s">
        <v>290</v>
      </c>
      <c r="G306" s="5" t="s">
        <v>223</v>
      </c>
      <c r="I306" s="5" t="s">
        <v>292</v>
      </c>
      <c r="J306">
        <v>90111204</v>
      </c>
      <c r="K306">
        <v>61091102</v>
      </c>
    </row>
    <row r="307" spans="1:16" x14ac:dyDescent="0.35">
      <c r="A307" t="str">
        <f>_xlfn.XLOOKUP(I307,Sheet3!A:A,Sheet3!B:B)</f>
        <v>CF</v>
      </c>
      <c r="B307">
        <v>27</v>
      </c>
      <c r="C307">
        <f t="shared" ref="C307:C308" si="14">C306+1</f>
        <v>3</v>
      </c>
      <c r="D307" t="str">
        <f t="shared" si="12"/>
        <v>CF-27-3</v>
      </c>
      <c r="E307" s="5" t="s">
        <v>290</v>
      </c>
      <c r="F307" s="5" t="s">
        <v>290</v>
      </c>
      <c r="G307" s="5" t="s">
        <v>222</v>
      </c>
      <c r="I307" s="5" t="s">
        <v>292</v>
      </c>
      <c r="J307">
        <v>80111204</v>
      </c>
      <c r="K307">
        <v>61091102</v>
      </c>
    </row>
    <row r="308" spans="1:16" ht="29" x14ac:dyDescent="0.35">
      <c r="A308" t="str">
        <f>_xlfn.XLOOKUP(I308,Sheet3!A:A,Sheet3!B:B)</f>
        <v>CF</v>
      </c>
      <c r="B308">
        <v>27</v>
      </c>
      <c r="C308">
        <f t="shared" si="14"/>
        <v>4</v>
      </c>
      <c r="D308" t="str">
        <f t="shared" si="12"/>
        <v>CF-27-4</v>
      </c>
      <c r="E308" t="s">
        <v>269</v>
      </c>
      <c r="F308" s="5" t="s">
        <v>284</v>
      </c>
      <c r="I308" s="5" t="s">
        <v>292</v>
      </c>
      <c r="J308">
        <v>81134102</v>
      </c>
      <c r="K308">
        <v>52952101</v>
      </c>
      <c r="P308" t="s">
        <v>370</v>
      </c>
    </row>
    <row r="309" spans="1:16" x14ac:dyDescent="0.35">
      <c r="A309" t="str">
        <f>_xlfn.XLOOKUP(I309,Sheet3!A:A,Sheet3!B:B)</f>
        <v>OM</v>
      </c>
      <c r="B309">
        <v>27</v>
      </c>
      <c r="C309">
        <v>1</v>
      </c>
      <c r="D309" t="str">
        <f t="shared" si="12"/>
        <v>OM-27-1</v>
      </c>
      <c r="E309" t="s">
        <v>313</v>
      </c>
      <c r="F309" t="s">
        <v>232</v>
      </c>
      <c r="I309" t="s">
        <v>302</v>
      </c>
      <c r="J309">
        <v>81319101</v>
      </c>
      <c r="K309">
        <v>52111102</v>
      </c>
      <c r="P309" t="s">
        <v>302</v>
      </c>
    </row>
    <row r="310" spans="1:16" x14ac:dyDescent="0.35">
      <c r="A310" t="str">
        <f>_xlfn.XLOOKUP(I310,Sheet3!A:A,Sheet3!B:B)</f>
        <v>OM</v>
      </c>
      <c r="B310">
        <v>27</v>
      </c>
      <c r="C310">
        <f t="shared" ref="C310:C316" si="15">C309+1</f>
        <v>2</v>
      </c>
      <c r="D310" t="str">
        <f t="shared" si="12"/>
        <v>OM-27-2</v>
      </c>
      <c r="E310" t="s">
        <v>313</v>
      </c>
      <c r="F310" t="s">
        <v>233</v>
      </c>
      <c r="I310" t="s">
        <v>302</v>
      </c>
      <c r="J310">
        <v>81319101</v>
      </c>
      <c r="K310">
        <v>52111102</v>
      </c>
      <c r="P310" t="s">
        <v>302</v>
      </c>
    </row>
    <row r="311" spans="1:16" x14ac:dyDescent="0.35">
      <c r="A311" t="str">
        <f>_xlfn.XLOOKUP(I311,Sheet3!A:A,Sheet3!B:B)</f>
        <v>OM</v>
      </c>
      <c r="B311">
        <v>27</v>
      </c>
      <c r="C311">
        <f t="shared" si="15"/>
        <v>3</v>
      </c>
      <c r="D311" t="str">
        <f t="shared" si="12"/>
        <v>OM-27-3</v>
      </c>
      <c r="E311" t="s">
        <v>311</v>
      </c>
      <c r="F311" s="5" t="s">
        <v>265</v>
      </c>
      <c r="I311" t="s">
        <v>302</v>
      </c>
      <c r="J311">
        <v>81319101</v>
      </c>
      <c r="K311">
        <v>52111101</v>
      </c>
      <c r="L311" t="s">
        <v>251</v>
      </c>
      <c r="P311" t="s">
        <v>302</v>
      </c>
    </row>
    <row r="312" spans="1:16" x14ac:dyDescent="0.35">
      <c r="A312" t="str">
        <f>_xlfn.XLOOKUP(I312,Sheet3!A:A,Sheet3!B:B)</f>
        <v>OM</v>
      </c>
      <c r="B312">
        <v>27</v>
      </c>
      <c r="C312">
        <f t="shared" si="15"/>
        <v>4</v>
      </c>
      <c r="D312" t="str">
        <f t="shared" si="12"/>
        <v>OM-27-4</v>
      </c>
      <c r="E312" t="s">
        <v>311</v>
      </c>
      <c r="F312" t="s">
        <v>271</v>
      </c>
      <c r="I312" t="s">
        <v>302</v>
      </c>
      <c r="J312">
        <v>81319101</v>
      </c>
      <c r="K312">
        <v>52111101</v>
      </c>
      <c r="P312" t="s">
        <v>302</v>
      </c>
    </row>
    <row r="313" spans="1:16" x14ac:dyDescent="0.35">
      <c r="A313" t="str">
        <f>_xlfn.XLOOKUP(I313,Sheet3!A:A,Sheet3!B:B)</f>
        <v>OM</v>
      </c>
      <c r="B313">
        <v>27</v>
      </c>
      <c r="C313">
        <f t="shared" si="15"/>
        <v>5</v>
      </c>
      <c r="D313" t="str">
        <f t="shared" si="12"/>
        <v>OM-27-5</v>
      </c>
      <c r="E313" t="s">
        <v>301</v>
      </c>
      <c r="F313" t="s">
        <v>235</v>
      </c>
      <c r="I313" t="s">
        <v>302</v>
      </c>
      <c r="J313">
        <v>81319101</v>
      </c>
      <c r="K313">
        <v>52061103</v>
      </c>
      <c r="P313" t="s">
        <v>302</v>
      </c>
    </row>
    <row r="314" spans="1:16" x14ac:dyDescent="0.35">
      <c r="A314" t="str">
        <f>_xlfn.XLOOKUP(I314,Sheet3!A:A,Sheet3!B:B)</f>
        <v>OM</v>
      </c>
      <c r="B314">
        <v>27</v>
      </c>
      <c r="C314">
        <f t="shared" si="15"/>
        <v>6</v>
      </c>
      <c r="D314" t="str">
        <f t="shared" si="12"/>
        <v>OM-27-6</v>
      </c>
      <c r="E314" t="s">
        <v>301</v>
      </c>
      <c r="F314" s="8" t="s">
        <v>272</v>
      </c>
      <c r="I314" t="s">
        <v>302</v>
      </c>
      <c r="J314">
        <v>81319101</v>
      </c>
      <c r="K314">
        <v>52061101</v>
      </c>
      <c r="P314" t="s">
        <v>302</v>
      </c>
    </row>
    <row r="315" spans="1:16" x14ac:dyDescent="0.35">
      <c r="A315" t="str">
        <f>_xlfn.XLOOKUP(I315,Sheet3!A:A,Sheet3!B:B)</f>
        <v>OM</v>
      </c>
      <c r="B315">
        <v>27</v>
      </c>
      <c r="C315">
        <f t="shared" si="15"/>
        <v>7</v>
      </c>
      <c r="D315" t="str">
        <f t="shared" si="12"/>
        <v>OM-27-7</v>
      </c>
      <c r="E315" t="s">
        <v>301</v>
      </c>
      <c r="F315" s="5" t="s">
        <v>218</v>
      </c>
      <c r="I315" t="s">
        <v>302</v>
      </c>
      <c r="J315">
        <v>81319101</v>
      </c>
      <c r="K315">
        <v>52061103</v>
      </c>
      <c r="P315" t="s">
        <v>302</v>
      </c>
    </row>
    <row r="316" spans="1:16" x14ac:dyDescent="0.35">
      <c r="A316" t="str">
        <f>_xlfn.XLOOKUP(I316,Sheet3!A:A,Sheet3!B:B)</f>
        <v>OM</v>
      </c>
      <c r="B316">
        <v>27</v>
      </c>
      <c r="C316">
        <f t="shared" si="15"/>
        <v>8</v>
      </c>
      <c r="D316" t="str">
        <f t="shared" si="12"/>
        <v>OM-27-8</v>
      </c>
      <c r="E316" t="s">
        <v>301</v>
      </c>
      <c r="F316" t="s">
        <v>234</v>
      </c>
      <c r="I316" t="s">
        <v>302</v>
      </c>
      <c r="J316">
        <v>81319101</v>
      </c>
      <c r="K316">
        <v>52061105</v>
      </c>
      <c r="P316" t="s">
        <v>302</v>
      </c>
    </row>
    <row r="317" spans="1:16" ht="29" x14ac:dyDescent="0.35">
      <c r="A317" t="str">
        <f>_xlfn.XLOOKUP(I317,Sheet3!A:A,Sheet3!B:B)</f>
        <v>PR</v>
      </c>
      <c r="B317">
        <v>27</v>
      </c>
      <c r="C317">
        <v>1</v>
      </c>
      <c r="D317" t="str">
        <f t="shared" si="12"/>
        <v>PR-27-1</v>
      </c>
      <c r="E317" t="s">
        <v>269</v>
      </c>
      <c r="F317" s="5" t="s">
        <v>289</v>
      </c>
      <c r="G317" s="5" t="s">
        <v>221</v>
      </c>
      <c r="I317" t="s">
        <v>354</v>
      </c>
      <c r="J317">
        <v>81133103</v>
      </c>
      <c r="K317">
        <v>52952101</v>
      </c>
      <c r="P317" s="5" t="s">
        <v>354</v>
      </c>
    </row>
    <row r="318" spans="1:16" ht="29" x14ac:dyDescent="0.35">
      <c r="A318" t="str">
        <f>_xlfn.XLOOKUP(I318,Sheet3!A:A,Sheet3!B:B)</f>
        <v>PR</v>
      </c>
      <c r="B318">
        <v>27</v>
      </c>
      <c r="C318">
        <f>C317+1</f>
        <v>2</v>
      </c>
      <c r="D318" t="str">
        <f t="shared" si="12"/>
        <v>PR-27-2</v>
      </c>
      <c r="E318" t="s">
        <v>269</v>
      </c>
      <c r="F318" s="5" t="s">
        <v>289</v>
      </c>
      <c r="G318" s="5" t="s">
        <v>222</v>
      </c>
      <c r="I318" t="s">
        <v>354</v>
      </c>
      <c r="J318">
        <v>80133103</v>
      </c>
      <c r="K318">
        <v>61711101</v>
      </c>
      <c r="P318" s="5" t="s">
        <v>354</v>
      </c>
    </row>
    <row r="319" spans="1:16" x14ac:dyDescent="0.35">
      <c r="A319" t="str">
        <f>_xlfn.XLOOKUP(I319,Sheet3!A:A,Sheet3!B:B)</f>
        <v>TX</v>
      </c>
      <c r="B319">
        <v>27</v>
      </c>
      <c r="C319">
        <v>1</v>
      </c>
      <c r="D319" t="str">
        <f t="shared" si="12"/>
        <v>TX-27-1</v>
      </c>
      <c r="E319" t="s">
        <v>329</v>
      </c>
      <c r="F319" t="s">
        <v>86</v>
      </c>
      <c r="G319" t="s">
        <v>222</v>
      </c>
      <c r="H319"/>
      <c r="I319" t="s">
        <v>87</v>
      </c>
      <c r="J319">
        <v>80133102</v>
      </c>
      <c r="K319">
        <v>61071004</v>
      </c>
      <c r="P319" t="s">
        <v>87</v>
      </c>
    </row>
    <row r="320" spans="1:16" x14ac:dyDescent="0.35">
      <c r="A320" t="str">
        <f>_xlfn.XLOOKUP(I320,Sheet3!A:A,Sheet3!B:B)</f>
        <v>TX</v>
      </c>
      <c r="B320">
        <v>27</v>
      </c>
      <c r="C320">
        <f>C319+1</f>
        <v>2</v>
      </c>
      <c r="D320" t="str">
        <f t="shared" si="12"/>
        <v>TX-27-2</v>
      </c>
      <c r="E320" t="s">
        <v>329</v>
      </c>
      <c r="F320" t="s">
        <v>86</v>
      </c>
      <c r="G320" t="s">
        <v>221</v>
      </c>
      <c r="H320"/>
      <c r="I320" t="s">
        <v>87</v>
      </c>
      <c r="J320">
        <v>81133102</v>
      </c>
      <c r="K320">
        <v>52071104</v>
      </c>
    </row>
    <row r="321" spans="1:16" x14ac:dyDescent="0.35">
      <c r="A321" t="str">
        <f>_xlfn.XLOOKUP(I321,Sheet3!A:A,Sheet3!B:B)</f>
        <v>TX</v>
      </c>
      <c r="B321">
        <v>27</v>
      </c>
      <c r="C321">
        <f t="shared" ref="C321:C336" si="16">C320+1</f>
        <v>3</v>
      </c>
      <c r="D321" t="str">
        <f t="shared" si="12"/>
        <v>TX-27-3</v>
      </c>
      <c r="E321" t="s">
        <v>329</v>
      </c>
      <c r="F321" t="s">
        <v>86</v>
      </c>
      <c r="G321" t="s">
        <v>223</v>
      </c>
      <c r="H321"/>
      <c r="I321" t="s">
        <v>87</v>
      </c>
      <c r="J321">
        <v>90133102</v>
      </c>
      <c r="K321">
        <v>52071104</v>
      </c>
    </row>
    <row r="322" spans="1:16" x14ac:dyDescent="0.35">
      <c r="A322" t="str">
        <f>_xlfn.XLOOKUP(I322,Sheet3!A:A,Sheet3!B:B)</f>
        <v>TX</v>
      </c>
      <c r="B322">
        <v>27</v>
      </c>
      <c r="C322">
        <f t="shared" si="16"/>
        <v>4</v>
      </c>
      <c r="D322" t="str">
        <f t="shared" si="12"/>
        <v>TX-27-4</v>
      </c>
      <c r="E322" t="s">
        <v>249</v>
      </c>
      <c r="F322" t="s">
        <v>372</v>
      </c>
      <c r="G322"/>
      <c r="H322"/>
      <c r="I322" t="s">
        <v>87</v>
      </c>
      <c r="J322">
        <v>80133102</v>
      </c>
      <c r="K322">
        <v>61051199</v>
      </c>
      <c r="P322" t="s">
        <v>87</v>
      </c>
    </row>
    <row r="323" spans="1:16" x14ac:dyDescent="0.35">
      <c r="A323" t="str">
        <f>_xlfn.XLOOKUP(I323,Sheet3!A:A,Sheet3!B:B)</f>
        <v>TX</v>
      </c>
      <c r="B323">
        <v>27</v>
      </c>
      <c r="C323">
        <f t="shared" si="16"/>
        <v>5</v>
      </c>
      <c r="D323" t="str">
        <f t="shared" ref="D323:D386" si="17">A323&amp;-B323&amp;-C323</f>
        <v>TX-27-5</v>
      </c>
      <c r="E323" t="s">
        <v>249</v>
      </c>
      <c r="F323" t="s">
        <v>380</v>
      </c>
      <c r="G323" t="s">
        <v>222</v>
      </c>
      <c r="H323"/>
      <c r="I323" t="s">
        <v>87</v>
      </c>
      <c r="J323">
        <v>80111101</v>
      </c>
      <c r="K323">
        <v>52031101</v>
      </c>
      <c r="P323" t="s">
        <v>87</v>
      </c>
    </row>
    <row r="324" spans="1:16" x14ac:dyDescent="0.35">
      <c r="A324" t="str">
        <f>_xlfn.XLOOKUP(I324,Sheet3!A:A,Sheet3!B:B)</f>
        <v>TX</v>
      </c>
      <c r="B324">
        <v>27</v>
      </c>
      <c r="C324">
        <f t="shared" si="16"/>
        <v>6</v>
      </c>
      <c r="D324" t="str">
        <f t="shared" si="17"/>
        <v>TX-27-6</v>
      </c>
      <c r="E324" t="s">
        <v>249</v>
      </c>
      <c r="F324" t="s">
        <v>380</v>
      </c>
      <c r="G324" t="s">
        <v>221</v>
      </c>
      <c r="H324"/>
      <c r="I324" t="s">
        <v>87</v>
      </c>
      <c r="J324">
        <v>81111101</v>
      </c>
      <c r="K324">
        <v>52031101</v>
      </c>
      <c r="P324" t="s">
        <v>87</v>
      </c>
    </row>
    <row r="325" spans="1:16" x14ac:dyDescent="0.35">
      <c r="A325" t="str">
        <f>_xlfn.XLOOKUP(I325,Sheet3!A:A,Sheet3!B:B)</f>
        <v>TX</v>
      </c>
      <c r="B325">
        <v>27</v>
      </c>
      <c r="C325">
        <f t="shared" si="16"/>
        <v>7</v>
      </c>
      <c r="D325" t="str">
        <f t="shared" si="17"/>
        <v>TX-27-7</v>
      </c>
      <c r="E325" t="s">
        <v>249</v>
      </c>
      <c r="F325" t="s">
        <v>376</v>
      </c>
      <c r="G325" t="s">
        <v>223</v>
      </c>
      <c r="H325"/>
      <c r="I325" t="s">
        <v>87</v>
      </c>
      <c r="J325">
        <v>90111101</v>
      </c>
      <c r="K325">
        <v>52031101</v>
      </c>
      <c r="P325" t="s">
        <v>87</v>
      </c>
    </row>
    <row r="326" spans="1:16" x14ac:dyDescent="0.35">
      <c r="A326" t="str">
        <f>_xlfn.XLOOKUP(I326,Sheet3!A:A,Sheet3!B:B)</f>
        <v>TX</v>
      </c>
      <c r="B326">
        <v>27</v>
      </c>
      <c r="C326">
        <f t="shared" si="16"/>
        <v>8</v>
      </c>
      <c r="D326" t="str">
        <f t="shared" si="17"/>
        <v>TX-27-8</v>
      </c>
      <c r="E326" t="s">
        <v>249</v>
      </c>
      <c r="F326" t="s">
        <v>378</v>
      </c>
      <c r="G326" t="s">
        <v>223</v>
      </c>
      <c r="H326"/>
      <c r="I326" t="s">
        <v>87</v>
      </c>
      <c r="J326">
        <v>90111101</v>
      </c>
      <c r="K326">
        <v>52031101</v>
      </c>
      <c r="P326" t="s">
        <v>87</v>
      </c>
    </row>
    <row r="327" spans="1:16" x14ac:dyDescent="0.35">
      <c r="A327" t="str">
        <f>_xlfn.XLOOKUP(I327,Sheet3!A:A,Sheet3!B:B)</f>
        <v>TX</v>
      </c>
      <c r="B327">
        <v>27</v>
      </c>
      <c r="C327">
        <f t="shared" si="16"/>
        <v>9</v>
      </c>
      <c r="D327" t="str">
        <f t="shared" si="17"/>
        <v>TX-27-9</v>
      </c>
      <c r="E327" t="s">
        <v>249</v>
      </c>
      <c r="F327" t="s">
        <v>371</v>
      </c>
      <c r="G327" t="s">
        <v>222</v>
      </c>
      <c r="H327"/>
      <c r="I327" t="s">
        <v>87</v>
      </c>
      <c r="J327">
        <v>80111101</v>
      </c>
      <c r="K327">
        <v>52031103</v>
      </c>
      <c r="P327" t="s">
        <v>87</v>
      </c>
    </row>
    <row r="328" spans="1:16" x14ac:dyDescent="0.35">
      <c r="A328" t="str">
        <f>_xlfn.XLOOKUP(I328,Sheet3!A:A,Sheet3!B:B)</f>
        <v>TX</v>
      </c>
      <c r="B328">
        <v>27</v>
      </c>
      <c r="C328">
        <f t="shared" si="16"/>
        <v>10</v>
      </c>
      <c r="D328" t="str">
        <f t="shared" si="17"/>
        <v>TX-27-10</v>
      </c>
      <c r="E328" t="s">
        <v>249</v>
      </c>
      <c r="F328" t="s">
        <v>371</v>
      </c>
      <c r="G328" t="s">
        <v>221</v>
      </c>
      <c r="H328"/>
      <c r="I328" t="s">
        <v>87</v>
      </c>
      <c r="J328">
        <v>81111101</v>
      </c>
      <c r="K328">
        <v>52031103</v>
      </c>
      <c r="P328" t="s">
        <v>87</v>
      </c>
    </row>
    <row r="329" spans="1:16" x14ac:dyDescent="0.35">
      <c r="A329" t="str">
        <f>_xlfn.XLOOKUP(I329,Sheet3!A:A,Sheet3!B:B)</f>
        <v>TX</v>
      </c>
      <c r="B329">
        <v>27</v>
      </c>
      <c r="C329">
        <f t="shared" si="16"/>
        <v>11</v>
      </c>
      <c r="D329" t="str">
        <f t="shared" si="17"/>
        <v>TX-27-11</v>
      </c>
      <c r="E329" t="s">
        <v>249</v>
      </c>
      <c r="F329" t="s">
        <v>371</v>
      </c>
      <c r="G329" t="s">
        <v>223</v>
      </c>
      <c r="H329"/>
      <c r="I329" t="s">
        <v>87</v>
      </c>
      <c r="J329">
        <v>90111101</v>
      </c>
      <c r="K329">
        <v>61031101</v>
      </c>
      <c r="P329" t="s">
        <v>87</v>
      </c>
    </row>
    <row r="330" spans="1:16" x14ac:dyDescent="0.35">
      <c r="A330" t="str">
        <f>_xlfn.XLOOKUP(I330,Sheet3!A:A,Sheet3!B:B)</f>
        <v>TX</v>
      </c>
      <c r="B330">
        <v>27</v>
      </c>
      <c r="C330">
        <f t="shared" si="16"/>
        <v>12</v>
      </c>
      <c r="D330" t="str">
        <f t="shared" si="17"/>
        <v>TX-27-12</v>
      </c>
      <c r="E330" t="s">
        <v>249</v>
      </c>
      <c r="F330" t="s">
        <v>377</v>
      </c>
      <c r="G330" t="s">
        <v>223</v>
      </c>
      <c r="H330"/>
      <c r="I330" t="s">
        <v>87</v>
      </c>
      <c r="J330">
        <v>90111101</v>
      </c>
      <c r="K330">
        <v>52031101</v>
      </c>
      <c r="P330" t="s">
        <v>87</v>
      </c>
    </row>
    <row r="331" spans="1:16" x14ac:dyDescent="0.35">
      <c r="A331" t="str">
        <f>_xlfn.XLOOKUP(I331,Sheet3!A:A,Sheet3!B:B)</f>
        <v>TX</v>
      </c>
      <c r="B331">
        <v>27</v>
      </c>
      <c r="C331">
        <f t="shared" si="16"/>
        <v>13</v>
      </c>
      <c r="D331" t="str">
        <f t="shared" si="17"/>
        <v>TX-27-13</v>
      </c>
      <c r="E331" t="s">
        <v>249</v>
      </c>
      <c r="F331" t="s">
        <v>379</v>
      </c>
      <c r="G331" t="s">
        <v>221</v>
      </c>
      <c r="H331"/>
      <c r="I331" t="s">
        <v>87</v>
      </c>
      <c r="J331">
        <v>81111101</v>
      </c>
      <c r="K331">
        <v>52031101</v>
      </c>
      <c r="P331" t="s">
        <v>87</v>
      </c>
    </row>
    <row r="332" spans="1:16" x14ac:dyDescent="0.35">
      <c r="A332" t="str">
        <f>_xlfn.XLOOKUP(I332,Sheet3!A:A,Sheet3!B:B)</f>
        <v>TX</v>
      </c>
      <c r="B332">
        <v>27</v>
      </c>
      <c r="C332">
        <f t="shared" si="16"/>
        <v>14</v>
      </c>
      <c r="D332" t="str">
        <f t="shared" si="17"/>
        <v>TX-27-14</v>
      </c>
      <c r="E332" t="s">
        <v>249</v>
      </c>
      <c r="F332" t="s">
        <v>379</v>
      </c>
      <c r="G332" t="s">
        <v>223</v>
      </c>
      <c r="H332"/>
      <c r="I332" t="s">
        <v>87</v>
      </c>
      <c r="J332">
        <v>90111101</v>
      </c>
      <c r="K332">
        <v>52031101</v>
      </c>
      <c r="P332" t="s">
        <v>87</v>
      </c>
    </row>
    <row r="333" spans="1:16" x14ac:dyDescent="0.35">
      <c r="A333" t="str">
        <f>_xlfn.XLOOKUP(I333,Sheet3!A:A,Sheet3!B:B)</f>
        <v>TX</v>
      </c>
      <c r="B333">
        <v>27</v>
      </c>
      <c r="C333">
        <f t="shared" si="16"/>
        <v>15</v>
      </c>
      <c r="D333" t="str">
        <f t="shared" si="17"/>
        <v>TX-27-15</v>
      </c>
      <c r="E333" t="s">
        <v>249</v>
      </c>
      <c r="F333" t="s">
        <v>375</v>
      </c>
      <c r="G333" t="s">
        <v>223</v>
      </c>
      <c r="H333"/>
      <c r="I333" t="s">
        <v>87</v>
      </c>
      <c r="J333">
        <v>90111101</v>
      </c>
      <c r="K333">
        <v>52031101</v>
      </c>
      <c r="P333" t="s">
        <v>87</v>
      </c>
    </row>
    <row r="334" spans="1:16" x14ac:dyDescent="0.35">
      <c r="A334" t="str">
        <f>_xlfn.XLOOKUP(I334,Sheet3!A:A,Sheet3!B:B)</f>
        <v>TX</v>
      </c>
      <c r="B334">
        <v>27</v>
      </c>
      <c r="C334">
        <f t="shared" si="16"/>
        <v>16</v>
      </c>
      <c r="D334" t="str">
        <f t="shared" si="17"/>
        <v>TX-27-16</v>
      </c>
      <c r="E334" t="s">
        <v>249</v>
      </c>
      <c r="F334" t="s">
        <v>373</v>
      </c>
      <c r="G334" t="s">
        <v>222</v>
      </c>
      <c r="H334"/>
      <c r="I334" t="s">
        <v>87</v>
      </c>
      <c r="J334">
        <v>80133102</v>
      </c>
      <c r="K334">
        <v>61959201</v>
      </c>
      <c r="P334" t="s">
        <v>87</v>
      </c>
    </row>
    <row r="335" spans="1:16" x14ac:dyDescent="0.35">
      <c r="A335" t="str">
        <f>_xlfn.XLOOKUP(I335,Sheet3!A:A,Sheet3!B:B)</f>
        <v>TX</v>
      </c>
      <c r="B335">
        <v>27</v>
      </c>
      <c r="C335">
        <f t="shared" si="16"/>
        <v>17</v>
      </c>
      <c r="D335" t="str">
        <f t="shared" si="17"/>
        <v>TX-27-17</v>
      </c>
      <c r="E335" t="s">
        <v>249</v>
      </c>
      <c r="F335" t="s">
        <v>373</v>
      </c>
      <c r="G335" t="s">
        <v>221</v>
      </c>
      <c r="H335"/>
      <c r="I335" t="s">
        <v>87</v>
      </c>
      <c r="J335">
        <v>81133102</v>
      </c>
      <c r="K335">
        <v>61959201</v>
      </c>
      <c r="P335" t="s">
        <v>87</v>
      </c>
    </row>
    <row r="336" spans="1:16" x14ac:dyDescent="0.35">
      <c r="A336" t="str">
        <f>_xlfn.XLOOKUP(I336,Sheet3!A:A,Sheet3!B:B)</f>
        <v>TX</v>
      </c>
      <c r="B336">
        <v>27</v>
      </c>
      <c r="C336">
        <f t="shared" si="16"/>
        <v>18</v>
      </c>
      <c r="D336" t="str">
        <f t="shared" si="17"/>
        <v>TX-27-18</v>
      </c>
      <c r="E336" t="s">
        <v>249</v>
      </c>
      <c r="F336" t="s">
        <v>373</v>
      </c>
      <c r="G336" t="s">
        <v>223</v>
      </c>
      <c r="H336"/>
      <c r="I336" t="s">
        <v>87</v>
      </c>
      <c r="J336">
        <v>90133102</v>
      </c>
      <c r="K336">
        <v>61959201</v>
      </c>
      <c r="P336" t="s">
        <v>87</v>
      </c>
    </row>
  </sheetData>
  <autoFilter ref="A2:P336" xr:uid="{0B1226CB-0107-4D8F-A599-9B58ED89F844}"/>
  <conditionalFormatting sqref="H196:H1048576 H2:H189">
    <cfRule type="duplicateValues" dxfId="0" priority="23"/>
  </conditionalFormatting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A08548-1290-45DD-A088-AE8B2503719D}">
  <dimension ref="A2:B13"/>
  <sheetViews>
    <sheetView workbookViewId="0">
      <selection activeCell="A13" sqref="A13"/>
    </sheetView>
  </sheetViews>
  <sheetFormatPr defaultRowHeight="14.5" x14ac:dyDescent="0.35"/>
  <cols>
    <col min="1" max="1" width="27.453125" bestFit="1" customWidth="1"/>
    <col min="2" max="2" width="20.453125" bestFit="1" customWidth="1"/>
  </cols>
  <sheetData>
    <row r="2" spans="1:2" ht="16" x14ac:dyDescent="0.35">
      <c r="A2" s="12" t="s">
        <v>356</v>
      </c>
      <c r="B2" t="s">
        <v>442</v>
      </c>
    </row>
    <row r="3" spans="1:2" ht="16" x14ac:dyDescent="0.35">
      <c r="A3" s="12" t="s">
        <v>355</v>
      </c>
      <c r="B3" t="s">
        <v>446</v>
      </c>
    </row>
    <row r="4" spans="1:2" ht="16" x14ac:dyDescent="0.35">
      <c r="A4" s="12" t="s">
        <v>357</v>
      </c>
      <c r="B4" t="s">
        <v>448</v>
      </c>
    </row>
    <row r="5" spans="1:2" ht="16" x14ac:dyDescent="0.35">
      <c r="A5" s="12" t="s">
        <v>85</v>
      </c>
      <c r="B5" t="s">
        <v>443</v>
      </c>
    </row>
    <row r="6" spans="1:2" ht="16" x14ac:dyDescent="0.35">
      <c r="A6" s="12" t="s">
        <v>77</v>
      </c>
      <c r="B6" t="s">
        <v>444</v>
      </c>
    </row>
    <row r="7" spans="1:2" ht="16" x14ac:dyDescent="0.35">
      <c r="A7" s="12" t="s">
        <v>327</v>
      </c>
      <c r="B7" t="s">
        <v>445</v>
      </c>
    </row>
    <row r="8" spans="1:2" ht="16" x14ac:dyDescent="0.35">
      <c r="A8" s="12" t="s">
        <v>292</v>
      </c>
      <c r="B8" t="s">
        <v>446</v>
      </c>
    </row>
    <row r="9" spans="1:2" ht="16" x14ac:dyDescent="0.35">
      <c r="A9" s="12" t="s">
        <v>87</v>
      </c>
      <c r="B9" t="s">
        <v>447</v>
      </c>
    </row>
    <row r="10" spans="1:2" ht="16" x14ac:dyDescent="0.35">
      <c r="A10" s="12" t="s">
        <v>449</v>
      </c>
      <c r="B10" t="s">
        <v>450</v>
      </c>
    </row>
    <row r="11" spans="1:2" ht="16" x14ac:dyDescent="0.35">
      <c r="A11" s="12" t="s">
        <v>166</v>
      </c>
      <c r="B11" t="s">
        <v>451</v>
      </c>
    </row>
    <row r="12" spans="1:2" ht="16" x14ac:dyDescent="0.35">
      <c r="A12" s="12" t="s">
        <v>302</v>
      </c>
      <c r="B12" t="s">
        <v>452</v>
      </c>
    </row>
    <row r="13" spans="1:2" x14ac:dyDescent="0.35">
      <c r="A13" t="s">
        <v>354</v>
      </c>
      <c r="B13" t="s">
        <v>453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481E3-2EEE-4475-A68F-A9208B1AAB73}">
  <dimension ref="A1:I25"/>
  <sheetViews>
    <sheetView workbookViewId="0">
      <selection activeCell="C10" sqref="C10"/>
    </sheetView>
  </sheetViews>
  <sheetFormatPr defaultRowHeight="14.5" x14ac:dyDescent="0.35"/>
  <cols>
    <col min="1" max="1" width="10.54296875" bestFit="1" customWidth="1"/>
    <col min="2" max="2" width="45.90625" bestFit="1" customWidth="1"/>
    <col min="3" max="3" width="29.90625" bestFit="1" customWidth="1"/>
    <col min="4" max="4" width="12.26953125" bestFit="1" customWidth="1"/>
    <col min="5" max="5" width="18.1796875" bestFit="1" customWidth="1"/>
    <col min="6" max="6" width="29" bestFit="1" customWidth="1"/>
    <col min="7" max="7" width="12.453125" bestFit="1" customWidth="1"/>
    <col min="8" max="8" width="19" bestFit="1" customWidth="1"/>
    <col min="9" max="9" width="12.26953125" bestFit="1" customWidth="1"/>
  </cols>
  <sheetData>
    <row r="1" spans="1:9" x14ac:dyDescent="0.35">
      <c r="A1" t="s">
        <v>29</v>
      </c>
      <c r="B1" t="s">
        <v>35</v>
      </c>
    </row>
    <row r="2" spans="1:9" x14ac:dyDescent="0.35">
      <c r="A2" s="2" t="s">
        <v>27</v>
      </c>
      <c r="B2" s="2" t="s">
        <v>28</v>
      </c>
      <c r="C2" s="2" t="s">
        <v>37</v>
      </c>
      <c r="D2" s="2" t="s">
        <v>32</v>
      </c>
      <c r="E2" s="2" t="s">
        <v>30</v>
      </c>
      <c r="F2" s="2" t="s">
        <v>33</v>
      </c>
      <c r="G2" s="2" t="s">
        <v>34</v>
      </c>
      <c r="H2" s="2" t="s">
        <v>36</v>
      </c>
      <c r="I2" s="2" t="s">
        <v>31</v>
      </c>
    </row>
    <row r="3" spans="1:9" x14ac:dyDescent="0.35">
      <c r="A3">
        <v>52041499</v>
      </c>
      <c r="B3" t="s">
        <v>6</v>
      </c>
      <c r="C3" t="s">
        <v>38</v>
      </c>
    </row>
    <row r="4" spans="1:9" x14ac:dyDescent="0.35">
      <c r="A4">
        <v>52041499</v>
      </c>
      <c r="B4" t="s">
        <v>6</v>
      </c>
      <c r="C4" t="s">
        <v>38</v>
      </c>
    </row>
    <row r="5" spans="1:9" x14ac:dyDescent="0.35">
      <c r="A5">
        <v>52081103</v>
      </c>
      <c r="B5" t="s">
        <v>22</v>
      </c>
      <c r="C5" t="s">
        <v>39</v>
      </c>
    </row>
    <row r="6" spans="1:9" x14ac:dyDescent="0.35">
      <c r="A6">
        <v>61711101</v>
      </c>
      <c r="B6" t="s">
        <v>7</v>
      </c>
      <c r="C6" t="s">
        <v>40</v>
      </c>
    </row>
    <row r="7" spans="1:9" x14ac:dyDescent="0.35">
      <c r="A7">
        <v>61041101</v>
      </c>
      <c r="B7" t="s">
        <v>2</v>
      </c>
      <c r="C7" t="s">
        <v>41</v>
      </c>
    </row>
    <row r="8" spans="1:9" x14ac:dyDescent="0.35">
      <c r="A8">
        <v>52119101</v>
      </c>
      <c r="B8" t="s">
        <v>18</v>
      </c>
      <c r="C8" t="s">
        <v>42</v>
      </c>
    </row>
    <row r="9" spans="1:9" x14ac:dyDescent="0.35">
      <c r="A9">
        <v>61111201</v>
      </c>
      <c r="B9" t="s">
        <v>19</v>
      </c>
      <c r="C9" t="s">
        <v>43</v>
      </c>
    </row>
    <row r="10" spans="1:9" x14ac:dyDescent="0.35">
      <c r="A10">
        <v>52041405</v>
      </c>
      <c r="B10" t="s">
        <v>4</v>
      </c>
      <c r="C10" t="s">
        <v>38</v>
      </c>
    </row>
    <row r="11" spans="1:9" x14ac:dyDescent="0.35">
      <c r="A11">
        <v>52111102</v>
      </c>
      <c r="B11" t="s">
        <v>16</v>
      </c>
    </row>
    <row r="12" spans="1:9" x14ac:dyDescent="0.35">
      <c r="A12">
        <v>61081101</v>
      </c>
      <c r="B12" t="s">
        <v>23</v>
      </c>
    </row>
    <row r="13" spans="1:9" x14ac:dyDescent="0.35">
      <c r="A13">
        <v>52951101</v>
      </c>
      <c r="B13" t="s">
        <v>12</v>
      </c>
    </row>
    <row r="14" spans="1:9" x14ac:dyDescent="0.35">
      <c r="A14">
        <v>52111101</v>
      </c>
      <c r="B14" t="s">
        <v>17</v>
      </c>
    </row>
    <row r="15" spans="1:9" x14ac:dyDescent="0.35">
      <c r="A15">
        <v>52081101</v>
      </c>
      <c r="B15" t="s">
        <v>21</v>
      </c>
    </row>
    <row r="16" spans="1:9" x14ac:dyDescent="0.35">
      <c r="A16">
        <v>61071099</v>
      </c>
      <c r="B16" t="s">
        <v>9</v>
      </c>
    </row>
    <row r="17" spans="1:3" x14ac:dyDescent="0.35">
      <c r="A17">
        <v>61061104</v>
      </c>
      <c r="B17" t="s">
        <v>3</v>
      </c>
    </row>
    <row r="18" spans="1:3" x14ac:dyDescent="0.35">
      <c r="A18">
        <v>52061103</v>
      </c>
      <c r="B18" t="s">
        <v>13</v>
      </c>
    </row>
    <row r="19" spans="1:3" x14ac:dyDescent="0.35">
      <c r="A19">
        <v>52061101</v>
      </c>
      <c r="B19" t="s">
        <v>14</v>
      </c>
    </row>
    <row r="20" spans="1:3" x14ac:dyDescent="0.35">
      <c r="A20">
        <v>52061111</v>
      </c>
      <c r="B20" t="s">
        <v>15</v>
      </c>
    </row>
    <row r="21" spans="1:3" x14ac:dyDescent="0.35">
      <c r="A21">
        <v>52041401</v>
      </c>
      <c r="B21" t="s">
        <v>5</v>
      </c>
      <c r="C21" t="s">
        <v>38</v>
      </c>
    </row>
    <row r="22" spans="1:3" x14ac:dyDescent="0.35">
      <c r="A22">
        <v>52081101</v>
      </c>
      <c r="B22" t="s">
        <v>21</v>
      </c>
    </row>
    <row r="23" spans="1:3" x14ac:dyDescent="0.35">
      <c r="A23">
        <v>52081101</v>
      </c>
      <c r="B23" t="s">
        <v>21</v>
      </c>
    </row>
    <row r="24" spans="1:3" x14ac:dyDescent="0.35">
      <c r="A24">
        <v>61721101</v>
      </c>
      <c r="B24" t="s">
        <v>11</v>
      </c>
    </row>
    <row r="25" spans="1:3" x14ac:dyDescent="0.35">
      <c r="A25">
        <v>61061104</v>
      </c>
      <c r="B25" t="s"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Princess Vera P. Jumalon</dc:creator>
  <cp:lastModifiedBy>Princess Vera P. Jumalon</cp:lastModifiedBy>
  <dcterms:created xsi:type="dcterms:W3CDTF">2026-07-20T02:55:37Z</dcterms:created>
  <dcterms:modified xsi:type="dcterms:W3CDTF">2026-09-02T08:06:44Z</dcterms:modified>
</cp:coreProperties>
</file>