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D364D799-27A7-4047-ADA1-0B95557B03E1}" xr6:coauthVersionLast="47" xr6:coauthVersionMax="47" xr10:uidLastSave="{00000000-0000-0000-0000-000000000000}"/>
  <bookViews>
    <workbookView xWindow="-110" yWindow="-110" windowWidth="19420" windowHeight="10300" xr2:uid="{9560371F-33DF-4766-A6E4-5EA2F775C409}"/>
  </bookViews>
  <sheets>
    <sheet name="Sheet1" sheetId="1" r:id="rId1"/>
  </sheets>
  <definedNames>
    <definedName name="_xlnm._FilterDatabase" localSheetId="0" hidden="1">Sheet1!$B$2:$P$393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" i="1" l="1"/>
  <c r="O1" i="1"/>
  <c r="N1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M1" i="1"/>
  <c r="L1" i="1"/>
  <c r="K1" i="1"/>
  <c r="J1" i="1"/>
  <c r="I1" i="1"/>
  <c r="H1" i="1"/>
  <c r="G1" i="1"/>
</calcChain>
</file>

<file path=xl/sharedStrings.xml><?xml version="1.0" encoding="utf-8"?>
<sst xmlns="http://schemas.openxmlformats.org/spreadsheetml/2006/main" count="789" uniqueCount="234">
  <si>
    <t>Expense Category</t>
  </si>
  <si>
    <t>Expense Item2</t>
  </si>
  <si>
    <t>Electricity &amp; Water</t>
  </si>
  <si>
    <t>Office Supplies - HQ</t>
  </si>
  <si>
    <t>Toner/Ink</t>
  </si>
  <si>
    <t>Office Supplies</t>
  </si>
  <si>
    <t>Others</t>
  </si>
  <si>
    <t>Dues and Fees</t>
  </si>
  <si>
    <t>Low Value Assets - HQ</t>
  </si>
  <si>
    <t>Office Equipment</t>
  </si>
  <si>
    <t>Fuel &amp; Lubricants</t>
  </si>
  <si>
    <t>Fuel &amp; Lubricants - Fleet</t>
  </si>
  <si>
    <t>Fuel &amp; Lubricants - Messenger</t>
  </si>
  <si>
    <t>HR Supplies</t>
  </si>
  <si>
    <t>Bathroom Tissue Roll</t>
  </si>
  <si>
    <t>Transportation</t>
  </si>
  <si>
    <t>Toll Fees/RFID</t>
  </si>
  <si>
    <t>Drivers' Meal Allowance</t>
  </si>
  <si>
    <t>Parking Fees</t>
  </si>
  <si>
    <t>Repairs &amp; Maintenance - HQ</t>
  </si>
  <si>
    <t>Building</t>
  </si>
  <si>
    <t>Furniture, Fixture &amp; Equipment</t>
  </si>
  <si>
    <t>Supplies</t>
  </si>
  <si>
    <t>Vehicle</t>
  </si>
  <si>
    <t>Vehicle Insurance</t>
  </si>
  <si>
    <t>Insurance</t>
  </si>
  <si>
    <t>PARI</t>
  </si>
  <si>
    <t>PTS</t>
  </si>
  <si>
    <t>Bond</t>
  </si>
  <si>
    <t>DOL</t>
  </si>
  <si>
    <t>Mobile Phone</t>
  </si>
  <si>
    <t>Phone - JHJ</t>
  </si>
  <si>
    <t>Phone - MDIA</t>
  </si>
  <si>
    <t>Postal</t>
  </si>
  <si>
    <t>Admin Staff</t>
  </si>
  <si>
    <t>Property Appraisal</t>
  </si>
  <si>
    <t>Contracted Services</t>
  </si>
  <si>
    <t>Company Physician</t>
  </si>
  <si>
    <t>Taxes &amp; Licenses</t>
  </si>
  <si>
    <t>Easy Tax Bill</t>
  </si>
  <si>
    <t>Janitorial</t>
  </si>
  <si>
    <t>Aruba</t>
  </si>
  <si>
    <t>Systems &amp; Applications - Network</t>
  </si>
  <si>
    <t>Aruba Switches</t>
  </si>
  <si>
    <t>SDWAN Device</t>
  </si>
  <si>
    <t>SDWAN Adaptiv</t>
  </si>
  <si>
    <t>SonicWall Firewall Security</t>
  </si>
  <si>
    <t>Kaseya</t>
  </si>
  <si>
    <t>Datrium</t>
  </si>
  <si>
    <t>Datrium Storage</t>
  </si>
  <si>
    <t>UPS Maintenance</t>
  </si>
  <si>
    <t>HPE Server Maintenance</t>
  </si>
  <si>
    <t>Office 365</t>
  </si>
  <si>
    <t>Office 365 Material Security Email Threat Protection</t>
  </si>
  <si>
    <t>Office 365 Extra Storage</t>
  </si>
  <si>
    <t>Vmware</t>
  </si>
  <si>
    <t>VMWARE</t>
  </si>
  <si>
    <t>Menlo Cloud Internet Security</t>
  </si>
  <si>
    <t>CROWDSTIKE  Endpoint Security</t>
  </si>
  <si>
    <t>Crowdstrike Endpoint Security</t>
  </si>
  <si>
    <t xml:space="preserve">Silver Peak Unity Application Boost License </t>
  </si>
  <si>
    <t>SDWAN Cloud License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</si>
  <si>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</si>
  <si>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</si>
  <si>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</si>
  <si>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</si>
  <si>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</si>
  <si>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</si>
  <si>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>AWS cloud hosted server / Application portal / HRIS</t>
  </si>
  <si>
    <t>AWS cloud hosted server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</si>
  <si>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</si>
  <si>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</si>
  <si>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</si>
  <si>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</si>
  <si>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</si>
  <si>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</si>
  <si>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</si>
  <si>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</si>
  <si>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</si>
  <si>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</si>
  <si>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</si>
  <si>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Canva</t>
  </si>
  <si>
    <t>AI</t>
  </si>
  <si>
    <t>AI Subscriptions</t>
  </si>
  <si>
    <t>Microsoft Planner and Project Plan</t>
  </si>
  <si>
    <t>Adobe Creative Cloud Pro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</si>
  <si>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</si>
  <si>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</si>
  <si>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</si>
  <si>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</si>
  <si>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</si>
  <si>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</si>
  <si>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</si>
  <si>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External Consultants</t>
  </si>
  <si>
    <t>Actuarial Valuation - Interim</t>
  </si>
  <si>
    <t>HRIS Maintenance</t>
  </si>
  <si>
    <t>Recruitment</t>
  </si>
  <si>
    <t>Jobstreet Subscription</t>
  </si>
  <si>
    <t>Pre-Employment Medical Exams</t>
  </si>
  <si>
    <t>HR External Consultants</t>
  </si>
  <si>
    <t>Salary survey report</t>
  </si>
  <si>
    <t>Manpower</t>
  </si>
  <si>
    <t>OJT Allowances</t>
  </si>
  <si>
    <t>Company Events</t>
  </si>
  <si>
    <t>Teambuilding/ Summer Outing</t>
  </si>
  <si>
    <t>Halloween 2025</t>
  </si>
  <si>
    <t>Employee Welfare/Benefit</t>
  </si>
  <si>
    <t>Monthly Merienda</t>
  </si>
  <si>
    <t>Polo Shirts</t>
  </si>
  <si>
    <t>Clinic Supplies</t>
  </si>
  <si>
    <t>Bereavement Assistance</t>
  </si>
  <si>
    <t>Flowers and Fruits (Hospitalization)</t>
  </si>
  <si>
    <t>Drinking Water</t>
  </si>
  <si>
    <t>Paper Towels</t>
  </si>
  <si>
    <t>Birthday Bash</t>
  </si>
  <si>
    <t xml:space="preserve">Alcohol </t>
  </si>
  <si>
    <t>Flu vaccine</t>
  </si>
  <si>
    <t>Trainings &amp; Seminars</t>
  </si>
  <si>
    <t>Functional/ Technical Skills</t>
  </si>
  <si>
    <t>Fringe Benefits Tax (FBT)</t>
  </si>
  <si>
    <t>FBT</t>
  </si>
  <si>
    <t>PSPI - Managers' Payroll</t>
  </si>
  <si>
    <t>HR Internal Consultants</t>
  </si>
  <si>
    <t>Consultants - Service Fee</t>
  </si>
  <si>
    <t>Professional Organization Dues/ License Renewal</t>
  </si>
  <si>
    <t>DPO - Data Privacy Officer</t>
  </si>
  <si>
    <t>PRC - Professional Regulation Commission</t>
  </si>
  <si>
    <t>IIEE - Integrated Electrical Engineers of the Philippines</t>
  </si>
  <si>
    <t>IBP - Integrated Bar of the Philippines</t>
  </si>
  <si>
    <t>UAP - United Architects of the Philippines</t>
  </si>
  <si>
    <t>PMAP - People Management Association of the Philippines</t>
  </si>
  <si>
    <t>ECOP - Employers Confederation of the Philippines, Inc.</t>
  </si>
  <si>
    <t>Pacific Cross Insurance Policy - MDIA</t>
  </si>
  <si>
    <t>Sun Life - MDIA</t>
  </si>
  <si>
    <t>Board of Directors (BOD)</t>
  </si>
  <si>
    <t>BOD Meeting Per Diem</t>
  </si>
  <si>
    <t>BOD Meeting Retainer</t>
  </si>
  <si>
    <t>Other Taxes</t>
  </si>
  <si>
    <t>Valle Verde</t>
  </si>
  <si>
    <t>Consumables</t>
  </si>
  <si>
    <t>OPE</t>
  </si>
  <si>
    <t>Membership Dues</t>
  </si>
  <si>
    <t>Security and Exchange Commissions</t>
  </si>
  <si>
    <t>FINEX - Financial Executives Institute of the Philippines</t>
  </si>
  <si>
    <t>Communications Branding</t>
  </si>
  <si>
    <t>Media Monitoring Services</t>
  </si>
  <si>
    <t>Social Listening Services</t>
  </si>
  <si>
    <t>PR Retainer Fee</t>
  </si>
  <si>
    <t>Marketing Events</t>
  </si>
  <si>
    <t>Christmas Décor</t>
  </si>
  <si>
    <t>Marketing Subscriptions</t>
  </si>
  <si>
    <t>Meta</t>
  </si>
  <si>
    <t>95th Campaign</t>
  </si>
  <si>
    <t>AI Pollo</t>
  </si>
  <si>
    <t>Capcut</t>
  </si>
  <si>
    <t>Townhall</t>
  </si>
  <si>
    <t>Meetings</t>
  </si>
  <si>
    <t>Notarial Fees</t>
  </si>
  <si>
    <t>CD Technologies Asia Inc.</t>
  </si>
  <si>
    <t>ICD - Institute of Corporate Directors</t>
  </si>
  <si>
    <t>MBC - Makati Business Club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</si>
  <si>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</si>
  <si>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</si>
  <si>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</si>
  <si>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</si>
  <si>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</si>
  <si>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</si>
  <si>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</si>
  <si>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FS Audit - PWC</t>
  </si>
  <si>
    <t>FS Audit OPE - PWC</t>
  </si>
  <si>
    <t>PWC FS Audit - OPE</t>
  </si>
  <si>
    <t>PWC FS Audit</t>
  </si>
  <si>
    <t>Transfer Pricing Documentation (TPD) - SGV</t>
  </si>
  <si>
    <t>RSG</t>
  </si>
  <si>
    <t>Health Insurance Service Fee - Lacson</t>
  </si>
  <si>
    <t>OFI Outsource - BDO CMC</t>
  </si>
  <si>
    <t>Representation</t>
  </si>
  <si>
    <t>Bureau of Customs Certificate Renewals</t>
  </si>
  <si>
    <t>Miscellaneous</t>
  </si>
  <si>
    <t>Office Supplies - Non HQ</t>
  </si>
  <si>
    <t>Security</t>
  </si>
  <si>
    <t>Low Value Assets - Non HQ</t>
  </si>
  <si>
    <t>Repairs &amp; Maintenance - Non HQ</t>
  </si>
  <si>
    <t>DST</t>
  </si>
  <si>
    <t>Manpower - Salary</t>
  </si>
  <si>
    <t>Basic Pay</t>
  </si>
  <si>
    <t>Guaranteed Bonus</t>
  </si>
  <si>
    <t>Leave Encashment - Separated Employees</t>
  </si>
  <si>
    <t>OT Pay</t>
  </si>
  <si>
    <t>Government Contributions (ER) - SSS</t>
  </si>
  <si>
    <t>SSS</t>
  </si>
  <si>
    <t>Government Contributions (ER) - Pag-Ibig</t>
  </si>
  <si>
    <t>Pag-ibig</t>
  </si>
  <si>
    <t>Government Contributions (ER) - Philhealth</t>
  </si>
  <si>
    <t>Philhealth</t>
  </si>
  <si>
    <t>Gas Allowance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</si>
  <si>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</si>
  <si>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</si>
  <si>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</si>
  <si>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</si>
  <si>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</si>
  <si>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</si>
  <si>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Leave Encashment - Excess of 90 days</t>
  </si>
  <si>
    <t>Project Employee</t>
  </si>
  <si>
    <t>Project Employee - OT Pay</t>
  </si>
  <si>
    <t>Outsourced</t>
  </si>
  <si>
    <t>Retirement</t>
  </si>
  <si>
    <t>Research &amp; Development</t>
  </si>
  <si>
    <t>CV Village</t>
  </si>
  <si>
    <t>GH Redev Plan</t>
  </si>
  <si>
    <t>OS2</t>
  </si>
  <si>
    <t>GH Resi Block</t>
  </si>
  <si>
    <t>ES expansion</t>
  </si>
  <si>
    <t>OE Redev Plan</t>
  </si>
  <si>
    <t>Google Workspace</t>
  </si>
  <si>
    <t>Fire Suppression System</t>
  </si>
  <si>
    <t>Power BI</t>
  </si>
  <si>
    <t>VRAY</t>
  </si>
  <si>
    <t>Interest &amp; Penalty</t>
  </si>
  <si>
    <t>Penalty</t>
  </si>
  <si>
    <t>2026A-01</t>
  </si>
  <si>
    <t>2026A-02</t>
  </si>
  <si>
    <t>2026A-03</t>
  </si>
  <si>
    <t>2026A-04</t>
  </si>
  <si>
    <t>2026A-05</t>
  </si>
  <si>
    <t>2026A-06</t>
  </si>
  <si>
    <t>2026A-07</t>
  </si>
  <si>
    <t>Budget Code</t>
  </si>
  <si>
    <t>GL</t>
  </si>
  <si>
    <t>CC</t>
  </si>
  <si>
    <t>2026 Approved Budget</t>
  </si>
  <si>
    <t>2026 YTD Actuals</t>
  </si>
  <si>
    <t>2026A-08</t>
  </si>
  <si>
    <t>2026 Available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</si>
</sst>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vertical="top"/>
    </xf>
    <xf numFmtId="0" fontId="3" fillId="0" borderId="0" xfId="0" applyFont="1"/>
    <xf numFmtId="0" fontId="0" fillId="2" borderId="0" xfId="0" applyFill="1" applyAlignment="1">
      <alignment vertical="top"/>
    </xf>
    <xf numFmtId="43" fontId="0" fillId="0" borderId="0" xfId="1" applyFont="1"/>
    <xf numFmtId="164" fontId="0" fillId="0" borderId="0" xfId="0" applyNumberFormat="1"/>
    <xf numFmtId="4" fontId="0" fillId="0" borderId="0" xfId="0" applyNumberFormat="1"/>
    <xf numFmtId="43" fontId="4" fillId="0" borderId="0" xfId="1" applyFon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4C59-A0A8-45DC-BDCD-F22DF35019B4}">
  <dimension ref="A1:P393"/>
  <sheetViews>
    <sheetView tabSelected="1" zoomScale="60" zoomScaleNormal="60" workbookViewId="0">
      <selection activeCell="A2" sqref="A2"/>
    </sheetView>
  </sheetViews>
  <sheetFormatPr defaultRowHeight="14.5" outlineLevelCol="1" x14ac:dyDescent="0.35"/>
  <cols>
    <col min="1" max="1" width="11.453125" bestFit="1" customWidth="1"/>
    <col min="2" max="2" width="23.08984375" customWidth="1"/>
    <col min="3" max="3" width="25.90625" customWidth="1"/>
    <col min="4" max="4" width="10.7265625" bestFit="1" customWidth="1"/>
    <col min="5" max="5" width="11" bestFit="1" customWidth="1"/>
    <col min="6" max="6" width="23.453125" customWidth="1"/>
    <col min="7" max="14" width="16.6328125" bestFit="1" customWidth="1" outlineLevel="1"/>
    <col min="15" max="15" width="22.81640625" bestFit="1" customWidth="1"/>
    <col min="16" max="16" width="27.08984375" bestFit="1" customWidth="1"/>
  </cols>
  <sheetData>
    <row r="1" spans="1:16" x14ac:dyDescent="0.35">
      <c r="G1" s="8">
        <f>SUBTOTAL(9,G3:G1048576)</f>
        <v>42686407.510000005</v>
      </c>
      <c r="H1" s="8">
        <f t="shared" ref="H1:P1" si="0">SUBTOTAL(9,H3:H1048576)</f>
        <v>47341575.950000003</v>
      </c>
      <c r="I1" s="8">
        <f t="shared" si="0"/>
        <v>44101026.559999995</v>
      </c>
      <c r="J1" s="8">
        <f t="shared" si="0"/>
        <v>65800948.899999999</v>
      </c>
      <c r="K1" s="8">
        <f t="shared" si="0"/>
        <v>45068045.019999988</v>
      </c>
      <c r="L1" s="8">
        <f t="shared" si="0"/>
        <v>50799271.030000001</v>
      </c>
      <c r="M1" s="8">
        <f t="shared" si="0"/>
        <v>45694262.020000003</v>
      </c>
      <c r="N1" s="8">
        <f t="shared" si="0"/>
        <v>0</v>
      </c>
      <c r="O1" s="8">
        <f t="shared" si="0"/>
        <v>341491536.98999995</v>
      </c>
      <c r="P1" s="8">
        <f t="shared" si="0"/>
        <v>-341491536.98999995</v>
      </c>
    </row>
    <row r="2" spans="1:16" x14ac:dyDescent="0.35">
      <c r="A2" s="1" t="s">
        <v>227</v>
      </c>
      <c r="B2" s="1" t="s">
        <v>0</v>
      </c>
      <c r="C2" s="1" t="s">
        <v>1</v>
      </c>
      <c r="D2" s="1" t="s">
        <v>228</v>
      </c>
      <c r="E2" s="1" t="s">
        <v>229</v>
      </c>
      <c r="F2" s="1" t="s">
        <v>230</v>
      </c>
      <c r="G2" s="1" t="s">
        <v>220</v>
      </c>
      <c r="H2" s="1" t="s">
        <v>221</v>
      </c>
      <c r="I2" s="1" t="s">
        <v>222</v>
      </c>
      <c r="J2" s="1" t="s">
        <v>223</v>
      </c>
      <c r="K2" s="1" t="s">
        <v>224</v>
      </c>
      <c r="L2" s="1" t="s">
        <v>225</v>
      </c>
      <c r="M2" s="1" t="s">
        <v>226</v>
      </c>
      <c r="N2" s="1" t="s">
        <v>232</v>
      </c>
      <c r="O2" s="1" t="s">
        <v>231</v>
      </c>
      <c r="P2" s="1" t="s">
        <v>233</v>
      </c>
    </row>
    <row r="3" spans="1:16" x14ac:dyDescent="0.35">
      <c r="B3" t="s">
        <v>2</v>
      </c>
      <c r="C3" s="2" t="s">
        <v>2</v>
      </c>
      <c r="D3">
        <v>80123102</v>
      </c>
      <c r="E3">
        <v>61041101</v>
      </c>
      <c r="G3" s="5">
        <v>175386.96</v>
      </c>
      <c r="H3" s="5">
        <v>142443.14000000001</v>
      </c>
      <c r="I3" s="5">
        <v>156890.70000000001</v>
      </c>
      <c r="J3" s="5">
        <v>159280.65</v>
      </c>
      <c r="K3" s="5">
        <v>235666.05</v>
      </c>
      <c r="L3" s="5">
        <v>300879.45</v>
      </c>
      <c r="M3" s="5">
        <v>281486.09999999998</v>
      </c>
      <c r="N3" s="6"/>
      <c r="O3" s="6">
        <f>SUM(G3:N3)</f>
        <v>1452033.0499999998</v>
      </c>
      <c r="P3" s="6">
        <f>F3-O3</f>
        <v>-1452033.0499999998</v>
      </c>
    </row>
    <row r="4" spans="1:16" x14ac:dyDescent="0.35">
      <c r="B4" t="s">
        <v>3</v>
      </c>
      <c r="C4" s="2" t="s">
        <v>4</v>
      </c>
      <c r="D4" s="2">
        <v>81123102</v>
      </c>
      <c r="E4" s="2">
        <v>52111101</v>
      </c>
      <c r="F4" s="2"/>
      <c r="G4" s="5">
        <v>0</v>
      </c>
      <c r="H4" s="5">
        <v>33392.86</v>
      </c>
      <c r="I4" s="5">
        <v>126250.00000000003</v>
      </c>
      <c r="J4" s="5">
        <v>89897.299999999988</v>
      </c>
      <c r="K4" s="5">
        <v>37946.43</v>
      </c>
      <c r="L4" s="5">
        <v>5000</v>
      </c>
      <c r="M4" s="5">
        <v>147232.15</v>
      </c>
      <c r="N4" s="6"/>
      <c r="O4" s="6">
        <f t="shared" ref="O4:O67" si="1">SUM(G4:N4)</f>
        <v>439718.74</v>
      </c>
      <c r="P4" s="6">
        <f t="shared" ref="P4:P67" si="2">F4-O4</f>
        <v>-439718.74</v>
      </c>
    </row>
    <row r="5" spans="1:16" x14ac:dyDescent="0.35">
      <c r="B5" t="s">
        <v>5</v>
      </c>
      <c r="C5" s="2" t="s">
        <v>6</v>
      </c>
      <c r="D5">
        <v>80123102</v>
      </c>
      <c r="E5">
        <v>61111101</v>
      </c>
      <c r="G5" s="5">
        <v>0</v>
      </c>
      <c r="H5" s="5">
        <v>6455.36</v>
      </c>
      <c r="I5" s="5">
        <v>120</v>
      </c>
      <c r="J5" s="5">
        <v>0</v>
      </c>
      <c r="K5" s="5">
        <v>400</v>
      </c>
      <c r="L5" s="5">
        <v>522</v>
      </c>
      <c r="M5" s="5">
        <v>3125</v>
      </c>
      <c r="N5" s="6"/>
      <c r="O5" s="6">
        <f t="shared" si="1"/>
        <v>10622.36</v>
      </c>
      <c r="P5" s="6">
        <f t="shared" si="2"/>
        <v>-10622.36</v>
      </c>
    </row>
    <row r="6" spans="1:16" x14ac:dyDescent="0.35">
      <c r="B6" t="s">
        <v>7</v>
      </c>
      <c r="C6" s="2" t="s">
        <v>6</v>
      </c>
      <c r="D6" s="2">
        <v>81123102</v>
      </c>
      <c r="E6" s="2">
        <v>52111101</v>
      </c>
      <c r="F6" s="2"/>
      <c r="G6" s="5">
        <v>0</v>
      </c>
      <c r="H6" s="5">
        <v>117689.73</v>
      </c>
      <c r="I6" s="5">
        <v>107517.47000000006</v>
      </c>
      <c r="J6" s="5">
        <v>62112.43</v>
      </c>
      <c r="K6" s="5">
        <v>55074.650000000009</v>
      </c>
      <c r="L6" s="5">
        <v>151002.12</v>
      </c>
      <c r="M6" s="5">
        <v>49534.86</v>
      </c>
      <c r="N6" s="6"/>
      <c r="O6" s="6">
        <f t="shared" si="1"/>
        <v>542931.26000000013</v>
      </c>
      <c r="P6" s="6">
        <f t="shared" si="2"/>
        <v>-542931.26000000013</v>
      </c>
    </row>
    <row r="7" spans="1:16" x14ac:dyDescent="0.35">
      <c r="B7" t="s">
        <v>8</v>
      </c>
      <c r="C7" s="2" t="s">
        <v>9</v>
      </c>
      <c r="D7" s="2">
        <v>81123102</v>
      </c>
      <c r="E7" s="2">
        <v>52111102</v>
      </c>
      <c r="F7" s="2"/>
      <c r="G7" s="5">
        <v>8916.9599999999991</v>
      </c>
      <c r="H7" s="5">
        <v>0</v>
      </c>
      <c r="I7" s="5">
        <v>0</v>
      </c>
      <c r="J7" s="5">
        <v>0</v>
      </c>
      <c r="K7" s="5">
        <v>1798</v>
      </c>
      <c r="L7" s="5">
        <v>0</v>
      </c>
      <c r="M7" s="5">
        <v>0</v>
      </c>
      <c r="N7" s="6"/>
      <c r="O7" s="6">
        <f t="shared" si="1"/>
        <v>10714.96</v>
      </c>
      <c r="P7" s="6">
        <f t="shared" si="2"/>
        <v>-10714.96</v>
      </c>
    </row>
    <row r="8" spans="1:16" x14ac:dyDescent="0.35">
      <c r="B8" t="s">
        <v>10</v>
      </c>
      <c r="C8" s="2" t="s">
        <v>11</v>
      </c>
      <c r="D8">
        <v>80123102</v>
      </c>
      <c r="E8">
        <v>61111201</v>
      </c>
      <c r="G8" s="5">
        <v>48012.45</v>
      </c>
      <c r="H8" s="5">
        <v>77544.69</v>
      </c>
      <c r="I8" s="5">
        <v>102713.66</v>
      </c>
      <c r="J8" s="5">
        <v>103946.2</v>
      </c>
      <c r="K8" s="5">
        <v>118138.21</v>
      </c>
      <c r="L8" s="5">
        <v>66950.689999999988</v>
      </c>
      <c r="M8" s="5">
        <v>83494.149999999994</v>
      </c>
      <c r="N8" s="6"/>
      <c r="O8" s="6">
        <f t="shared" si="1"/>
        <v>600800.05000000005</v>
      </c>
      <c r="P8" s="6">
        <f t="shared" si="2"/>
        <v>-600800.05000000005</v>
      </c>
    </row>
    <row r="9" spans="1:16" x14ac:dyDescent="0.35">
      <c r="B9" t="s">
        <v>10</v>
      </c>
      <c r="C9" s="2" t="s">
        <v>12</v>
      </c>
      <c r="D9" s="2">
        <v>81123102</v>
      </c>
      <c r="E9" s="2">
        <v>52119101</v>
      </c>
      <c r="F9" s="2"/>
      <c r="G9" s="5">
        <v>0</v>
      </c>
      <c r="H9" s="5">
        <v>0</v>
      </c>
      <c r="I9" s="5">
        <v>0</v>
      </c>
      <c r="J9" s="5">
        <v>6606.96</v>
      </c>
      <c r="K9" s="5">
        <v>14250.56</v>
      </c>
      <c r="L9" s="5">
        <v>8190</v>
      </c>
      <c r="M9" s="5">
        <v>10181</v>
      </c>
      <c r="N9" s="6"/>
      <c r="O9" s="6">
        <f t="shared" si="1"/>
        <v>39228.520000000004</v>
      </c>
      <c r="P9" s="6">
        <f t="shared" si="2"/>
        <v>-39228.520000000004</v>
      </c>
    </row>
    <row r="10" spans="1:16" x14ac:dyDescent="0.35">
      <c r="B10" t="s">
        <v>13</v>
      </c>
      <c r="C10" s="2" t="s">
        <v>14</v>
      </c>
      <c r="D10">
        <v>81221201</v>
      </c>
      <c r="E10">
        <v>61111101</v>
      </c>
      <c r="G10" s="5">
        <v>20914.28</v>
      </c>
      <c r="H10" s="5">
        <v>0</v>
      </c>
      <c r="I10" s="5">
        <v>0</v>
      </c>
      <c r="J10" s="5">
        <v>0</v>
      </c>
      <c r="K10" s="5">
        <v>15445.169999999998</v>
      </c>
      <c r="L10" s="5">
        <v>0</v>
      </c>
      <c r="M10" s="5">
        <v>0</v>
      </c>
      <c r="N10" s="6"/>
      <c r="O10" s="6">
        <f t="shared" si="1"/>
        <v>36359.449999999997</v>
      </c>
      <c r="P10" s="6">
        <f t="shared" si="2"/>
        <v>-36359.449999999997</v>
      </c>
    </row>
    <row r="11" spans="1:16" x14ac:dyDescent="0.35">
      <c r="B11" t="s">
        <v>7</v>
      </c>
      <c r="C11" s="2" t="s">
        <v>6</v>
      </c>
      <c r="D11">
        <v>81221201</v>
      </c>
      <c r="E11">
        <v>61111101</v>
      </c>
      <c r="G11" s="5"/>
      <c r="H11" s="5"/>
      <c r="I11" s="5"/>
      <c r="J11" s="5"/>
      <c r="K11" s="5"/>
      <c r="L11" s="5"/>
      <c r="M11" s="5">
        <v>-566.15000000000271</v>
      </c>
      <c r="N11" s="6"/>
      <c r="O11" s="6">
        <f t="shared" si="1"/>
        <v>-566.15000000000271</v>
      </c>
      <c r="P11" s="6">
        <f t="shared" si="2"/>
        <v>566.15000000000271</v>
      </c>
    </row>
    <row r="12" spans="1:16" x14ac:dyDescent="0.35">
      <c r="B12" t="s">
        <v>13</v>
      </c>
      <c r="C12" s="2" t="s">
        <v>14</v>
      </c>
      <c r="D12" s="2">
        <v>81319101</v>
      </c>
      <c r="E12" s="2">
        <v>52111101</v>
      </c>
      <c r="F12" s="2"/>
      <c r="G12" s="5"/>
      <c r="H12" s="5"/>
      <c r="I12" s="5"/>
      <c r="J12" s="5"/>
      <c r="K12" s="5">
        <v>16071.43</v>
      </c>
      <c r="L12" s="5">
        <v>0</v>
      </c>
      <c r="M12" s="5">
        <v>0</v>
      </c>
      <c r="N12" s="6"/>
      <c r="O12" s="6">
        <f t="shared" si="1"/>
        <v>16071.43</v>
      </c>
      <c r="P12" s="6">
        <f t="shared" si="2"/>
        <v>-16071.43</v>
      </c>
    </row>
    <row r="13" spans="1:16" x14ac:dyDescent="0.35">
      <c r="B13" t="s">
        <v>15</v>
      </c>
      <c r="C13" s="2" t="s">
        <v>16</v>
      </c>
      <c r="D13">
        <v>80123102</v>
      </c>
      <c r="E13">
        <v>61081101</v>
      </c>
      <c r="G13" s="5">
        <v>0</v>
      </c>
      <c r="H13" s="5">
        <v>0</v>
      </c>
      <c r="I13" s="5">
        <v>0</v>
      </c>
      <c r="J13" s="5">
        <v>38725.06</v>
      </c>
      <c r="K13" s="5">
        <v>0</v>
      </c>
      <c r="L13" s="5">
        <v>8400</v>
      </c>
      <c r="M13" s="5">
        <v>0</v>
      </c>
      <c r="N13" s="6"/>
      <c r="O13" s="6">
        <f t="shared" si="1"/>
        <v>47125.06</v>
      </c>
      <c r="P13" s="6">
        <f t="shared" si="2"/>
        <v>-47125.06</v>
      </c>
    </row>
    <row r="14" spans="1:16" x14ac:dyDescent="0.35">
      <c r="B14" t="s">
        <v>17</v>
      </c>
      <c r="C14" s="2" t="s">
        <v>17</v>
      </c>
      <c r="D14">
        <v>80123102</v>
      </c>
      <c r="E14">
        <v>61081101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6"/>
      <c r="O14" s="6">
        <f t="shared" si="1"/>
        <v>0</v>
      </c>
      <c r="P14" s="6">
        <f t="shared" si="2"/>
        <v>0</v>
      </c>
    </row>
    <row r="15" spans="1:16" x14ac:dyDescent="0.35">
      <c r="B15" t="s">
        <v>17</v>
      </c>
      <c r="C15" s="2" t="s">
        <v>17</v>
      </c>
      <c r="D15" s="2">
        <v>81123102</v>
      </c>
      <c r="E15" s="2">
        <v>52081103</v>
      </c>
      <c r="F15" s="2"/>
      <c r="G15" s="5">
        <v>0</v>
      </c>
      <c r="H15" s="5">
        <v>0</v>
      </c>
      <c r="I15" s="5">
        <v>0</v>
      </c>
      <c r="J15" s="5">
        <v>150</v>
      </c>
      <c r="K15" s="5">
        <v>1700</v>
      </c>
      <c r="L15" s="5">
        <v>900</v>
      </c>
      <c r="M15" s="5">
        <v>450</v>
      </c>
      <c r="N15" s="6"/>
      <c r="O15" s="6">
        <f t="shared" si="1"/>
        <v>3200</v>
      </c>
      <c r="P15" s="6">
        <f t="shared" si="2"/>
        <v>-3200</v>
      </c>
    </row>
    <row r="16" spans="1:16" x14ac:dyDescent="0.35">
      <c r="B16" t="s">
        <v>17</v>
      </c>
      <c r="C16" s="2" t="s">
        <v>17</v>
      </c>
      <c r="D16" s="2">
        <v>90111101</v>
      </c>
      <c r="E16" s="2">
        <v>52081103</v>
      </c>
      <c r="F16" s="2"/>
      <c r="G16" s="5">
        <v>0</v>
      </c>
      <c r="H16" s="5">
        <v>0</v>
      </c>
      <c r="I16" s="5">
        <v>0</v>
      </c>
      <c r="J16" s="5">
        <v>8400</v>
      </c>
      <c r="K16" s="5">
        <v>24975</v>
      </c>
      <c r="L16" s="5">
        <v>8550</v>
      </c>
      <c r="M16" s="5">
        <v>6450</v>
      </c>
      <c r="N16" s="6"/>
      <c r="O16" s="6">
        <f t="shared" si="1"/>
        <v>48375</v>
      </c>
      <c r="P16" s="6">
        <f t="shared" si="2"/>
        <v>-48375</v>
      </c>
    </row>
    <row r="17" spans="2:16" x14ac:dyDescent="0.35">
      <c r="B17" t="s">
        <v>15</v>
      </c>
      <c r="C17" s="2" t="s">
        <v>18</v>
      </c>
      <c r="D17">
        <v>81123102</v>
      </c>
      <c r="E17">
        <v>52081101</v>
      </c>
      <c r="G17" s="5">
        <v>1005</v>
      </c>
      <c r="H17" s="5">
        <v>1025</v>
      </c>
      <c r="I17" s="5">
        <v>1110</v>
      </c>
      <c r="J17" s="5">
        <v>810</v>
      </c>
      <c r="K17" s="5">
        <v>1595</v>
      </c>
      <c r="L17" s="5">
        <v>600</v>
      </c>
      <c r="M17" s="5">
        <v>1225</v>
      </c>
      <c r="N17" s="6"/>
      <c r="O17" s="6">
        <f t="shared" si="1"/>
        <v>7370</v>
      </c>
      <c r="P17" s="6">
        <f t="shared" si="2"/>
        <v>-7370</v>
      </c>
    </row>
    <row r="18" spans="2:16" x14ac:dyDescent="0.35">
      <c r="B18" t="s">
        <v>15</v>
      </c>
      <c r="C18" s="2" t="s">
        <v>18</v>
      </c>
      <c r="D18">
        <v>81123102</v>
      </c>
      <c r="E18">
        <v>52081101</v>
      </c>
      <c r="G18" s="5">
        <v>300</v>
      </c>
      <c r="H18" s="5">
        <v>295</v>
      </c>
      <c r="I18" s="5">
        <v>859</v>
      </c>
      <c r="J18" s="5">
        <v>0</v>
      </c>
      <c r="K18" s="5">
        <v>632</v>
      </c>
      <c r="L18" s="5">
        <v>0</v>
      </c>
      <c r="M18" s="5">
        <v>0</v>
      </c>
      <c r="N18" s="6"/>
      <c r="O18" s="6">
        <f t="shared" si="1"/>
        <v>2086</v>
      </c>
      <c r="P18" s="6">
        <f t="shared" si="2"/>
        <v>-2086</v>
      </c>
    </row>
    <row r="19" spans="2:16" x14ac:dyDescent="0.35">
      <c r="B19" t="s">
        <v>15</v>
      </c>
      <c r="C19" s="2" t="s">
        <v>16</v>
      </c>
      <c r="D19">
        <v>81123102</v>
      </c>
      <c r="E19">
        <v>52081101</v>
      </c>
      <c r="G19" s="5">
        <v>44</v>
      </c>
      <c r="H19" s="5">
        <v>0</v>
      </c>
      <c r="I19" s="5">
        <v>0</v>
      </c>
      <c r="J19" s="5">
        <v>0</v>
      </c>
      <c r="K19" s="5">
        <v>2000</v>
      </c>
      <c r="L19" s="5">
        <v>2000</v>
      </c>
      <c r="M19" s="5">
        <v>0</v>
      </c>
      <c r="N19" s="6"/>
      <c r="O19" s="6">
        <f t="shared" si="1"/>
        <v>4044</v>
      </c>
      <c r="P19" s="6">
        <f t="shared" si="2"/>
        <v>-4044</v>
      </c>
    </row>
    <row r="20" spans="2:16" x14ac:dyDescent="0.35">
      <c r="B20" t="s">
        <v>15</v>
      </c>
      <c r="C20" s="2" t="s">
        <v>16</v>
      </c>
      <c r="D20">
        <v>81319101</v>
      </c>
      <c r="E20">
        <v>52081101</v>
      </c>
      <c r="G20" s="5"/>
      <c r="H20" s="5">
        <v>2026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6"/>
      <c r="O20" s="6">
        <f t="shared" si="1"/>
        <v>2026</v>
      </c>
      <c r="P20" s="6">
        <f t="shared" si="2"/>
        <v>-2026</v>
      </c>
    </row>
    <row r="21" spans="2:16" x14ac:dyDescent="0.35">
      <c r="B21" t="s">
        <v>15</v>
      </c>
      <c r="C21" s="2" t="s">
        <v>18</v>
      </c>
      <c r="D21">
        <v>81319101</v>
      </c>
      <c r="E21">
        <v>52081101</v>
      </c>
      <c r="G21" s="5"/>
      <c r="H21" s="5"/>
      <c r="I21" s="5">
        <v>286</v>
      </c>
      <c r="J21" s="5">
        <v>0</v>
      </c>
      <c r="K21" s="5">
        <v>0</v>
      </c>
      <c r="L21" s="5">
        <v>0</v>
      </c>
      <c r="M21" s="5">
        <v>0</v>
      </c>
      <c r="N21" s="6"/>
      <c r="O21" s="6">
        <f t="shared" si="1"/>
        <v>286</v>
      </c>
      <c r="P21" s="6">
        <f t="shared" si="2"/>
        <v>-286</v>
      </c>
    </row>
    <row r="22" spans="2:16" x14ac:dyDescent="0.35">
      <c r="B22" t="s">
        <v>19</v>
      </c>
      <c r="C22" s="2" t="s">
        <v>20</v>
      </c>
      <c r="D22">
        <v>80123102</v>
      </c>
      <c r="E22">
        <v>61061101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6"/>
      <c r="O22" s="6">
        <f t="shared" si="1"/>
        <v>0</v>
      </c>
      <c r="P22" s="6">
        <f t="shared" si="2"/>
        <v>0</v>
      </c>
    </row>
    <row r="23" spans="2:16" x14ac:dyDescent="0.35">
      <c r="B23" t="s">
        <v>19</v>
      </c>
      <c r="C23" s="2" t="s">
        <v>20</v>
      </c>
      <c r="D23" s="2">
        <v>81123102</v>
      </c>
      <c r="E23" s="2">
        <v>52061103</v>
      </c>
      <c r="F23" s="2"/>
      <c r="G23" s="5">
        <v>0</v>
      </c>
      <c r="H23" s="5">
        <v>0</v>
      </c>
      <c r="I23" s="5">
        <v>0</v>
      </c>
      <c r="J23" s="5">
        <v>8973.2099999999991</v>
      </c>
      <c r="K23" s="5">
        <v>-7477.6699999999983</v>
      </c>
      <c r="L23" s="5">
        <v>2243.3000000000002</v>
      </c>
      <c r="M23" s="5">
        <v>4486.6099999999997</v>
      </c>
      <c r="N23" s="6"/>
      <c r="O23" s="6">
        <f t="shared" si="1"/>
        <v>8225.4500000000007</v>
      </c>
      <c r="P23" s="6">
        <f t="shared" si="2"/>
        <v>-8225.4500000000007</v>
      </c>
    </row>
    <row r="24" spans="2:16" x14ac:dyDescent="0.35">
      <c r="B24" t="s">
        <v>19</v>
      </c>
      <c r="C24" s="2" t="s">
        <v>21</v>
      </c>
      <c r="D24">
        <v>80123102</v>
      </c>
      <c r="E24">
        <v>61061102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6"/>
      <c r="O24" s="6">
        <f t="shared" si="1"/>
        <v>0</v>
      </c>
      <c r="P24" s="6">
        <f t="shared" si="2"/>
        <v>0</v>
      </c>
    </row>
    <row r="25" spans="2:16" x14ac:dyDescent="0.35">
      <c r="B25" t="s">
        <v>19</v>
      </c>
      <c r="C25" s="2" t="s">
        <v>21</v>
      </c>
      <c r="D25" s="2">
        <v>81123102</v>
      </c>
      <c r="E25" s="2">
        <v>52061103</v>
      </c>
      <c r="F25" s="2"/>
      <c r="G25" s="5">
        <v>0</v>
      </c>
      <c r="H25" s="5">
        <v>0</v>
      </c>
      <c r="I25" s="5">
        <v>0</v>
      </c>
      <c r="J25" s="5">
        <v>61607.14</v>
      </c>
      <c r="K25" s="5">
        <v>428214.28</v>
      </c>
      <c r="L25" s="5">
        <v>8839.2999999999993</v>
      </c>
      <c r="M25" s="5">
        <v>19464.29</v>
      </c>
      <c r="N25" s="6"/>
      <c r="O25" s="6">
        <f t="shared" si="1"/>
        <v>518125.01</v>
      </c>
      <c r="P25" s="6">
        <f t="shared" si="2"/>
        <v>-518125.01</v>
      </c>
    </row>
    <row r="26" spans="2:16" x14ac:dyDescent="0.35">
      <c r="B26" t="s">
        <v>19</v>
      </c>
      <c r="C26" s="2" t="s">
        <v>22</v>
      </c>
      <c r="D26">
        <v>80123102</v>
      </c>
      <c r="E26">
        <v>61031201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6"/>
      <c r="O26" s="6">
        <f t="shared" si="1"/>
        <v>0</v>
      </c>
      <c r="P26" s="6">
        <f t="shared" si="2"/>
        <v>0</v>
      </c>
    </row>
    <row r="27" spans="2:16" x14ac:dyDescent="0.35">
      <c r="B27" t="s">
        <v>19</v>
      </c>
      <c r="C27" s="2" t="s">
        <v>22</v>
      </c>
      <c r="D27">
        <v>81123102</v>
      </c>
      <c r="E27">
        <v>52061111</v>
      </c>
      <c r="G27" s="5">
        <v>960</v>
      </c>
      <c r="H27" s="5">
        <v>70952.2</v>
      </c>
      <c r="I27" s="5">
        <v>229.01</v>
      </c>
      <c r="J27" s="5">
        <v>13490</v>
      </c>
      <c r="K27" s="5">
        <v>12105.72</v>
      </c>
      <c r="L27" s="5">
        <v>13843.210000000003</v>
      </c>
      <c r="M27" s="5">
        <v>91090.76</v>
      </c>
      <c r="N27" s="6"/>
      <c r="O27" s="6">
        <f t="shared" si="1"/>
        <v>202670.9</v>
      </c>
      <c r="P27" s="6">
        <f t="shared" si="2"/>
        <v>-202670.9</v>
      </c>
    </row>
    <row r="28" spans="2:16" x14ac:dyDescent="0.35">
      <c r="B28" t="s">
        <v>19</v>
      </c>
      <c r="C28" s="2" t="s">
        <v>22</v>
      </c>
      <c r="D28" s="2">
        <v>81123102</v>
      </c>
      <c r="E28" s="2">
        <v>61031201</v>
      </c>
      <c r="F28" s="2"/>
      <c r="G28" s="5">
        <v>0</v>
      </c>
      <c r="H28" s="5">
        <v>4017.86</v>
      </c>
      <c r="I28" s="5">
        <v>-4017.86</v>
      </c>
      <c r="J28" s="5">
        <v>0</v>
      </c>
      <c r="K28" s="5">
        <v>0</v>
      </c>
      <c r="L28" s="5">
        <v>4017.86</v>
      </c>
      <c r="M28" s="5">
        <v>0</v>
      </c>
      <c r="N28" s="6"/>
      <c r="O28" s="6">
        <f t="shared" si="1"/>
        <v>4017.86</v>
      </c>
      <c r="P28" s="6">
        <f t="shared" si="2"/>
        <v>-4017.86</v>
      </c>
    </row>
    <row r="29" spans="2:16" x14ac:dyDescent="0.35">
      <c r="B29" t="s">
        <v>19</v>
      </c>
      <c r="C29" s="2" t="s">
        <v>21</v>
      </c>
      <c r="D29" s="2">
        <v>81123102</v>
      </c>
      <c r="E29" s="2">
        <v>52061101</v>
      </c>
      <c r="F29" s="2"/>
      <c r="G29" s="5">
        <v>0</v>
      </c>
      <c r="H29" s="5">
        <v>5000</v>
      </c>
      <c r="I29" s="5">
        <v>0</v>
      </c>
      <c r="J29" s="5">
        <v>0</v>
      </c>
      <c r="K29" s="5">
        <v>15178.57</v>
      </c>
      <c r="L29" s="5">
        <v>0</v>
      </c>
      <c r="M29" s="5">
        <v>12366.07</v>
      </c>
      <c r="N29" s="6"/>
      <c r="O29" s="6">
        <f t="shared" si="1"/>
        <v>32544.639999999999</v>
      </c>
      <c r="P29" s="6">
        <f t="shared" si="2"/>
        <v>-32544.639999999999</v>
      </c>
    </row>
    <row r="30" spans="2:16" x14ac:dyDescent="0.35">
      <c r="B30" t="s">
        <v>19</v>
      </c>
      <c r="C30" s="2" t="s">
        <v>23</v>
      </c>
      <c r="D30">
        <v>80123102</v>
      </c>
      <c r="E30">
        <v>61061104</v>
      </c>
      <c r="G30" s="5">
        <v>0</v>
      </c>
      <c r="H30" s="5">
        <v>0</v>
      </c>
      <c r="I30" s="5">
        <v>-20170.079999999994</v>
      </c>
      <c r="J30" s="5">
        <v>0</v>
      </c>
      <c r="K30" s="5">
        <v>0</v>
      </c>
      <c r="L30" s="5">
        <v>41347.93</v>
      </c>
      <c r="M30" s="5">
        <v>14794.630000000001</v>
      </c>
      <c r="N30" s="6"/>
      <c r="O30" s="6">
        <f t="shared" si="1"/>
        <v>35972.48000000001</v>
      </c>
      <c r="P30" s="6">
        <f t="shared" si="2"/>
        <v>-35972.48000000001</v>
      </c>
    </row>
    <row r="31" spans="2:16" x14ac:dyDescent="0.35">
      <c r="B31" t="s">
        <v>19</v>
      </c>
      <c r="C31" t="s">
        <v>23</v>
      </c>
      <c r="D31">
        <v>80123102</v>
      </c>
      <c r="E31">
        <v>61061104</v>
      </c>
      <c r="G31" s="5">
        <v>5714.29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6"/>
      <c r="O31" s="6">
        <f t="shared" si="1"/>
        <v>5714.29</v>
      </c>
      <c r="P31" s="6">
        <f t="shared" si="2"/>
        <v>-5714.29</v>
      </c>
    </row>
    <row r="32" spans="2:16" x14ac:dyDescent="0.35">
      <c r="B32" t="s">
        <v>19</v>
      </c>
      <c r="C32" t="s">
        <v>23</v>
      </c>
      <c r="D32">
        <v>80123102</v>
      </c>
      <c r="E32">
        <v>61061104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17863.95</v>
      </c>
      <c r="M32" s="5">
        <v>0</v>
      </c>
      <c r="N32" s="6"/>
      <c r="O32" s="6">
        <f t="shared" si="1"/>
        <v>17863.95</v>
      </c>
      <c r="P32" s="6">
        <f t="shared" si="2"/>
        <v>-17863.95</v>
      </c>
    </row>
    <row r="33" spans="2:16" x14ac:dyDescent="0.35">
      <c r="B33" t="s">
        <v>19</v>
      </c>
      <c r="C33" t="s">
        <v>23</v>
      </c>
      <c r="D33">
        <v>80123102</v>
      </c>
      <c r="E33">
        <v>61061104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4464.29</v>
      </c>
      <c r="N33" s="6"/>
      <c r="O33" s="6">
        <f t="shared" si="1"/>
        <v>4464.29</v>
      </c>
      <c r="P33" s="6">
        <f t="shared" si="2"/>
        <v>-4464.29</v>
      </c>
    </row>
    <row r="34" spans="2:16" x14ac:dyDescent="0.35">
      <c r="B34" t="s">
        <v>19</v>
      </c>
      <c r="C34" t="s">
        <v>23</v>
      </c>
      <c r="D34">
        <v>80123102</v>
      </c>
      <c r="E34">
        <v>61061104</v>
      </c>
      <c r="G34" s="5">
        <v>0</v>
      </c>
      <c r="H34" s="5">
        <v>0</v>
      </c>
      <c r="I34" s="5">
        <v>0</v>
      </c>
      <c r="J34" s="5">
        <v>0</v>
      </c>
      <c r="K34" s="5">
        <v>15628.85</v>
      </c>
      <c r="L34" s="5">
        <v>0</v>
      </c>
      <c r="M34" s="5">
        <v>0</v>
      </c>
      <c r="N34" s="6"/>
      <c r="O34" s="6">
        <f t="shared" si="1"/>
        <v>15628.85</v>
      </c>
      <c r="P34" s="6">
        <f t="shared" si="2"/>
        <v>-15628.85</v>
      </c>
    </row>
    <row r="35" spans="2:16" x14ac:dyDescent="0.35">
      <c r="B35" t="s">
        <v>19</v>
      </c>
      <c r="C35" t="s">
        <v>23</v>
      </c>
      <c r="D35">
        <v>80123102</v>
      </c>
      <c r="E35">
        <v>61061104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23278.92</v>
      </c>
      <c r="M35" s="5">
        <v>0</v>
      </c>
      <c r="N35" s="6"/>
      <c r="O35" s="6">
        <f t="shared" si="1"/>
        <v>23278.92</v>
      </c>
      <c r="P35" s="6">
        <f t="shared" si="2"/>
        <v>-23278.92</v>
      </c>
    </row>
    <row r="36" spans="2:16" x14ac:dyDescent="0.35">
      <c r="B36" t="s">
        <v>19</v>
      </c>
      <c r="C36" t="s">
        <v>23</v>
      </c>
      <c r="D36">
        <v>80123102</v>
      </c>
      <c r="E36">
        <v>61061104</v>
      </c>
      <c r="G36" s="5">
        <v>21041.51</v>
      </c>
      <c r="H36" s="5">
        <v>0</v>
      </c>
      <c r="I36" s="5">
        <v>0</v>
      </c>
      <c r="J36" s="5">
        <v>0</v>
      </c>
      <c r="K36" s="5">
        <v>23920.33</v>
      </c>
      <c r="L36" s="5">
        <v>0</v>
      </c>
      <c r="M36" s="5">
        <v>0</v>
      </c>
      <c r="N36" s="6"/>
      <c r="O36" s="6">
        <f t="shared" si="1"/>
        <v>44961.84</v>
      </c>
      <c r="P36" s="6">
        <f t="shared" si="2"/>
        <v>-44961.84</v>
      </c>
    </row>
    <row r="37" spans="2:16" x14ac:dyDescent="0.35">
      <c r="B37" t="s">
        <v>19</v>
      </c>
      <c r="C37" t="s">
        <v>23</v>
      </c>
      <c r="D37">
        <v>80123102</v>
      </c>
      <c r="E37">
        <v>61061104</v>
      </c>
      <c r="G37" s="5">
        <v>0</v>
      </c>
      <c r="H37" s="5">
        <v>0</v>
      </c>
      <c r="I37" s="5">
        <v>13704.02</v>
      </c>
      <c r="J37" s="5">
        <v>0</v>
      </c>
      <c r="K37" s="5">
        <v>0</v>
      </c>
      <c r="L37" s="5">
        <v>10210.709999999999</v>
      </c>
      <c r="M37" s="5">
        <v>0</v>
      </c>
      <c r="N37" s="6"/>
      <c r="O37" s="6">
        <f t="shared" si="1"/>
        <v>23914.73</v>
      </c>
      <c r="P37" s="6">
        <f t="shared" si="2"/>
        <v>-23914.73</v>
      </c>
    </row>
    <row r="38" spans="2:16" x14ac:dyDescent="0.35">
      <c r="B38" t="s">
        <v>19</v>
      </c>
      <c r="C38" t="s">
        <v>23</v>
      </c>
      <c r="D38">
        <v>80123102</v>
      </c>
      <c r="E38">
        <v>61061104</v>
      </c>
      <c r="G38" s="5">
        <v>0</v>
      </c>
      <c r="H38" s="5">
        <v>0</v>
      </c>
      <c r="I38" s="5">
        <v>0</v>
      </c>
      <c r="J38" s="5">
        <v>0</v>
      </c>
      <c r="K38" s="5">
        <v>21996.92</v>
      </c>
      <c r="L38" s="5">
        <v>24336.13</v>
      </c>
      <c r="M38" s="5">
        <v>0</v>
      </c>
      <c r="N38" s="6"/>
      <c r="O38" s="6">
        <f t="shared" si="1"/>
        <v>46333.05</v>
      </c>
      <c r="P38" s="6">
        <f t="shared" si="2"/>
        <v>-46333.05</v>
      </c>
    </row>
    <row r="39" spans="2:16" x14ac:dyDescent="0.35">
      <c r="B39" t="s">
        <v>19</v>
      </c>
      <c r="C39" t="s">
        <v>23</v>
      </c>
      <c r="D39">
        <v>80123102</v>
      </c>
      <c r="E39">
        <v>61061104</v>
      </c>
      <c r="G39" s="5">
        <v>0</v>
      </c>
      <c r="H39" s="5">
        <v>0</v>
      </c>
      <c r="I39" s="5">
        <v>0</v>
      </c>
      <c r="J39" s="5">
        <v>9324.5400000000009</v>
      </c>
      <c r="K39" s="5">
        <v>0</v>
      </c>
      <c r="L39" s="5">
        <v>0</v>
      </c>
      <c r="M39" s="5">
        <v>0</v>
      </c>
      <c r="N39" s="6"/>
      <c r="O39" s="6">
        <f t="shared" si="1"/>
        <v>9324.5400000000009</v>
      </c>
      <c r="P39" s="6">
        <f t="shared" si="2"/>
        <v>-9324.5400000000009</v>
      </c>
    </row>
    <row r="40" spans="2:16" x14ac:dyDescent="0.35">
      <c r="B40" t="s">
        <v>19</v>
      </c>
      <c r="C40" t="s">
        <v>23</v>
      </c>
      <c r="D40">
        <v>80123102</v>
      </c>
      <c r="E40">
        <v>61061104</v>
      </c>
      <c r="G40" s="5">
        <v>0</v>
      </c>
      <c r="H40" s="5">
        <v>0</v>
      </c>
      <c r="I40" s="5">
        <v>10357.14</v>
      </c>
      <c r="J40" s="5">
        <v>0</v>
      </c>
      <c r="K40" s="5">
        <v>0</v>
      </c>
      <c r="L40" s="5">
        <v>0</v>
      </c>
      <c r="M40" s="5">
        <v>0</v>
      </c>
      <c r="N40" s="6"/>
      <c r="O40" s="6">
        <f t="shared" si="1"/>
        <v>10357.14</v>
      </c>
      <c r="P40" s="6">
        <f t="shared" si="2"/>
        <v>-10357.14</v>
      </c>
    </row>
    <row r="41" spans="2:16" x14ac:dyDescent="0.35">
      <c r="B41" t="s">
        <v>19</v>
      </c>
      <c r="C41" t="s">
        <v>23</v>
      </c>
      <c r="D41">
        <v>80123102</v>
      </c>
      <c r="E41">
        <v>61061104</v>
      </c>
      <c r="G41" s="5">
        <v>0</v>
      </c>
      <c r="H41" s="5">
        <v>0</v>
      </c>
      <c r="I41" s="5">
        <v>-11964.29</v>
      </c>
      <c r="J41" s="5">
        <v>0</v>
      </c>
      <c r="K41" s="5">
        <v>0</v>
      </c>
      <c r="L41" s="5">
        <v>0</v>
      </c>
      <c r="M41" s="5">
        <v>0</v>
      </c>
      <c r="N41" s="6"/>
      <c r="O41" s="6">
        <f t="shared" si="1"/>
        <v>-11964.29</v>
      </c>
      <c r="P41" s="6">
        <f t="shared" si="2"/>
        <v>11964.29</v>
      </c>
    </row>
    <row r="42" spans="2:16" x14ac:dyDescent="0.35">
      <c r="B42" t="s">
        <v>19</v>
      </c>
      <c r="C42" t="s">
        <v>23</v>
      </c>
      <c r="D42">
        <v>80123102</v>
      </c>
      <c r="E42">
        <v>61061104</v>
      </c>
      <c r="G42" s="5">
        <v>0</v>
      </c>
      <c r="H42" s="5">
        <v>0</v>
      </c>
      <c r="I42" s="5">
        <v>19135.95</v>
      </c>
      <c r="J42" s="5">
        <v>0</v>
      </c>
      <c r="K42" s="5">
        <v>0</v>
      </c>
      <c r="L42" s="5">
        <v>0</v>
      </c>
      <c r="M42" s="5">
        <v>0</v>
      </c>
      <c r="N42" s="6"/>
      <c r="O42" s="6">
        <f t="shared" si="1"/>
        <v>19135.95</v>
      </c>
      <c r="P42" s="6">
        <f t="shared" si="2"/>
        <v>-19135.95</v>
      </c>
    </row>
    <row r="43" spans="2:16" x14ac:dyDescent="0.35">
      <c r="B43" t="s">
        <v>19</v>
      </c>
      <c r="C43" t="s">
        <v>23</v>
      </c>
      <c r="D43">
        <v>80123102</v>
      </c>
      <c r="E43">
        <v>61061104</v>
      </c>
      <c r="G43" s="5">
        <v>0</v>
      </c>
      <c r="H43" s="5">
        <v>7399.88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6"/>
      <c r="O43" s="6">
        <f t="shared" si="1"/>
        <v>7399.88</v>
      </c>
      <c r="P43" s="6">
        <f t="shared" si="2"/>
        <v>-7399.88</v>
      </c>
    </row>
    <row r="44" spans="2:16" x14ac:dyDescent="0.35">
      <c r="B44" t="s">
        <v>19</v>
      </c>
      <c r="C44" t="s">
        <v>23</v>
      </c>
      <c r="D44">
        <v>80123102</v>
      </c>
      <c r="E44">
        <v>61061104</v>
      </c>
      <c r="G44" s="5">
        <v>0</v>
      </c>
      <c r="H44" s="5">
        <v>18090.91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6"/>
      <c r="O44" s="6">
        <f t="shared" si="1"/>
        <v>18090.91</v>
      </c>
      <c r="P44" s="6">
        <f t="shared" si="2"/>
        <v>-18090.91</v>
      </c>
    </row>
    <row r="45" spans="2:16" x14ac:dyDescent="0.35">
      <c r="B45" t="s">
        <v>19</v>
      </c>
      <c r="C45" t="s">
        <v>23</v>
      </c>
      <c r="D45">
        <v>80123102</v>
      </c>
      <c r="E45">
        <v>61061104</v>
      </c>
      <c r="G45" s="5">
        <v>6700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6"/>
      <c r="O45" s="6">
        <f t="shared" si="1"/>
        <v>6700</v>
      </c>
      <c r="P45" s="6">
        <f t="shared" si="2"/>
        <v>-6700</v>
      </c>
    </row>
    <row r="46" spans="2:16" x14ac:dyDescent="0.35">
      <c r="B46" t="s">
        <v>19</v>
      </c>
      <c r="C46" t="s">
        <v>23</v>
      </c>
      <c r="D46" s="2">
        <v>81123102</v>
      </c>
      <c r="E46" s="2">
        <v>52061105</v>
      </c>
      <c r="F46" s="2"/>
      <c r="G46" s="5"/>
      <c r="H46" s="5"/>
      <c r="I46" s="5"/>
      <c r="J46" s="5"/>
      <c r="K46" s="5">
        <v>10250</v>
      </c>
      <c r="L46" s="5">
        <v>400</v>
      </c>
      <c r="M46" s="5">
        <v>0</v>
      </c>
      <c r="N46" s="6"/>
      <c r="O46" s="6">
        <f t="shared" si="1"/>
        <v>10650</v>
      </c>
      <c r="P46" s="6">
        <f t="shared" si="2"/>
        <v>-10650</v>
      </c>
    </row>
    <row r="47" spans="2:16" x14ac:dyDescent="0.35">
      <c r="B47" t="s">
        <v>24</v>
      </c>
      <c r="C47" s="2" t="s">
        <v>24</v>
      </c>
      <c r="D47">
        <v>81123102</v>
      </c>
      <c r="E47">
        <v>52101112</v>
      </c>
      <c r="G47" s="5">
        <v>0</v>
      </c>
      <c r="H47" s="5">
        <v>400.16</v>
      </c>
      <c r="I47" s="5">
        <v>0</v>
      </c>
      <c r="J47" s="5">
        <v>11768.15</v>
      </c>
      <c r="K47" s="5">
        <v>0</v>
      </c>
      <c r="L47" s="5">
        <v>37755.71</v>
      </c>
      <c r="M47" s="5">
        <v>0</v>
      </c>
      <c r="N47" s="6"/>
      <c r="O47" s="6">
        <f t="shared" si="1"/>
        <v>49924.02</v>
      </c>
      <c r="P47" s="6">
        <f t="shared" si="2"/>
        <v>-49924.02</v>
      </c>
    </row>
    <row r="48" spans="2:16" x14ac:dyDescent="0.35">
      <c r="B48" t="s">
        <v>24</v>
      </c>
      <c r="C48" s="2" t="s">
        <v>24</v>
      </c>
      <c r="D48">
        <v>80123102</v>
      </c>
      <c r="E48">
        <v>61101104</v>
      </c>
      <c r="G48" s="5">
        <v>0</v>
      </c>
      <c r="H48" s="5">
        <v>0</v>
      </c>
      <c r="I48" s="5">
        <v>0</v>
      </c>
      <c r="J48" s="5">
        <v>0</v>
      </c>
      <c r="K48" s="6"/>
      <c r="L48" s="5">
        <v>13038.65</v>
      </c>
      <c r="M48" s="5">
        <v>0</v>
      </c>
      <c r="N48" s="6"/>
      <c r="O48" s="6">
        <f t="shared" si="1"/>
        <v>13038.65</v>
      </c>
      <c r="P48" s="6">
        <f t="shared" si="2"/>
        <v>-13038.65</v>
      </c>
    </row>
    <row r="49" spans="2:16" x14ac:dyDescent="0.35">
      <c r="B49" t="s">
        <v>24</v>
      </c>
      <c r="C49" s="2" t="s">
        <v>24</v>
      </c>
      <c r="D49">
        <v>80123102</v>
      </c>
      <c r="E49">
        <v>61101104</v>
      </c>
      <c r="G49" s="5">
        <v>1502.2600000000002</v>
      </c>
      <c r="H49" s="5">
        <v>0</v>
      </c>
      <c r="I49" s="5">
        <v>0</v>
      </c>
      <c r="J49" s="5">
        <v>0</v>
      </c>
      <c r="K49" s="6"/>
      <c r="L49" s="5">
        <v>0</v>
      </c>
      <c r="M49" s="5">
        <v>0</v>
      </c>
      <c r="N49" s="6"/>
      <c r="O49" s="6">
        <f t="shared" si="1"/>
        <v>1502.2600000000002</v>
      </c>
      <c r="P49" s="6">
        <f t="shared" si="2"/>
        <v>-1502.2600000000002</v>
      </c>
    </row>
    <row r="50" spans="2:16" x14ac:dyDescent="0.35">
      <c r="B50" t="s">
        <v>24</v>
      </c>
      <c r="C50" s="2" t="s">
        <v>24</v>
      </c>
      <c r="D50">
        <v>80123102</v>
      </c>
      <c r="E50">
        <v>61101104</v>
      </c>
      <c r="G50" s="5">
        <v>75334.399999999994</v>
      </c>
      <c r="H50" s="5">
        <v>4363.289999999979</v>
      </c>
      <c r="I50" s="5">
        <v>91889.290000000008</v>
      </c>
      <c r="J50" s="5">
        <v>86396.669999999984</v>
      </c>
      <c r="K50" s="5">
        <v>81353.47</v>
      </c>
      <c r="L50" s="5">
        <v>88471.430000000008</v>
      </c>
      <c r="M50" s="5">
        <v>81353.47</v>
      </c>
      <c r="N50" s="6"/>
      <c r="O50" s="6">
        <f t="shared" si="1"/>
        <v>509162.02</v>
      </c>
      <c r="P50" s="6">
        <f t="shared" si="2"/>
        <v>-509162.02</v>
      </c>
    </row>
    <row r="51" spans="2:16" x14ac:dyDescent="0.35">
      <c r="B51" t="s">
        <v>25</v>
      </c>
      <c r="C51" s="2" t="s">
        <v>26</v>
      </c>
      <c r="D51">
        <v>80111101</v>
      </c>
      <c r="E51">
        <v>52101101</v>
      </c>
      <c r="G51" s="5">
        <v>10701.02</v>
      </c>
      <c r="H51" s="5">
        <v>10701.02</v>
      </c>
      <c r="I51" s="5">
        <v>9665.44</v>
      </c>
      <c r="J51" s="5">
        <v>5177.8999999999996</v>
      </c>
      <c r="K51" s="5">
        <v>5819.65</v>
      </c>
      <c r="L51" s="5">
        <v>3487</v>
      </c>
      <c r="M51" s="5">
        <v>8668.27</v>
      </c>
      <c r="N51" s="6"/>
      <c r="O51" s="6">
        <f t="shared" si="1"/>
        <v>54220.3</v>
      </c>
      <c r="P51" s="6">
        <f t="shared" si="2"/>
        <v>-54220.3</v>
      </c>
    </row>
    <row r="52" spans="2:16" x14ac:dyDescent="0.35">
      <c r="B52" t="s">
        <v>25</v>
      </c>
      <c r="C52" s="2" t="s">
        <v>26</v>
      </c>
      <c r="D52">
        <v>81111101</v>
      </c>
      <c r="E52">
        <v>52101101</v>
      </c>
      <c r="G52" s="5">
        <v>6244.97</v>
      </c>
      <c r="H52" s="5">
        <v>6244.97</v>
      </c>
      <c r="I52" s="5">
        <v>5640.6000000000013</v>
      </c>
      <c r="J52" s="5">
        <v>3021.77</v>
      </c>
      <c r="K52" s="5">
        <v>11398.76</v>
      </c>
      <c r="L52" s="5">
        <v>11078.05</v>
      </c>
      <c r="M52" s="5">
        <v>14855.660000000003</v>
      </c>
      <c r="N52" s="6"/>
      <c r="O52" s="6">
        <f t="shared" si="1"/>
        <v>58484.78</v>
      </c>
      <c r="P52" s="6">
        <f t="shared" si="2"/>
        <v>-58484.78</v>
      </c>
    </row>
    <row r="53" spans="2:16" x14ac:dyDescent="0.35">
      <c r="B53" t="s">
        <v>25</v>
      </c>
      <c r="C53" s="2" t="s">
        <v>27</v>
      </c>
      <c r="D53">
        <v>80111101</v>
      </c>
      <c r="E53">
        <v>52101105</v>
      </c>
      <c r="G53" s="5">
        <v>1973.9</v>
      </c>
      <c r="H53" s="5">
        <v>0</v>
      </c>
      <c r="I53" s="5">
        <v>0</v>
      </c>
      <c r="J53" s="5">
        <v>5921.7000000000007</v>
      </c>
      <c r="K53" s="5">
        <v>0</v>
      </c>
      <c r="L53" s="5">
        <v>3947.8</v>
      </c>
      <c r="M53" s="5">
        <v>1973.9</v>
      </c>
      <c r="N53" s="6"/>
      <c r="O53" s="6">
        <f t="shared" si="1"/>
        <v>13817.300000000001</v>
      </c>
      <c r="P53" s="6">
        <f t="shared" si="2"/>
        <v>-13817.300000000001</v>
      </c>
    </row>
    <row r="54" spans="2:16" x14ac:dyDescent="0.35">
      <c r="B54" t="s">
        <v>25</v>
      </c>
      <c r="C54" s="2" t="s">
        <v>27</v>
      </c>
      <c r="D54">
        <v>81111101</v>
      </c>
      <c r="E54">
        <v>52101105</v>
      </c>
      <c r="G54" s="5">
        <v>1151.92</v>
      </c>
      <c r="H54" s="5">
        <v>1151.92</v>
      </c>
      <c r="I54" s="5">
        <v>1151.92</v>
      </c>
      <c r="J54" s="5">
        <v>1151.92</v>
      </c>
      <c r="K54" s="5">
        <v>1151.92</v>
      </c>
      <c r="L54" s="5">
        <v>1151.92</v>
      </c>
      <c r="M54" s="5">
        <v>1151.92</v>
      </c>
      <c r="N54" s="6"/>
      <c r="O54" s="6">
        <f t="shared" si="1"/>
        <v>8063.4400000000005</v>
      </c>
      <c r="P54" s="6">
        <f t="shared" si="2"/>
        <v>-8063.4400000000005</v>
      </c>
    </row>
    <row r="55" spans="2:16" x14ac:dyDescent="0.35">
      <c r="B55" t="s">
        <v>25</v>
      </c>
      <c r="C55" s="2" t="s">
        <v>28</v>
      </c>
      <c r="D55">
        <v>90111101</v>
      </c>
      <c r="E55">
        <v>61101106</v>
      </c>
      <c r="G55" s="5">
        <v>0</v>
      </c>
      <c r="H55" s="5">
        <v>0</v>
      </c>
      <c r="I55" s="5">
        <v>0</v>
      </c>
      <c r="J55" s="5">
        <v>0</v>
      </c>
      <c r="K55" s="5">
        <v>13285.9</v>
      </c>
      <c r="L55" s="5">
        <v>0</v>
      </c>
      <c r="M55" s="5">
        <v>0</v>
      </c>
      <c r="N55" s="6"/>
      <c r="O55" s="6">
        <f t="shared" si="1"/>
        <v>13285.9</v>
      </c>
      <c r="P55" s="6">
        <f t="shared" si="2"/>
        <v>-13285.9</v>
      </c>
    </row>
    <row r="56" spans="2:16" x14ac:dyDescent="0.35">
      <c r="B56" t="s">
        <v>25</v>
      </c>
      <c r="C56" s="2" t="s">
        <v>29</v>
      </c>
      <c r="D56">
        <v>90111101</v>
      </c>
      <c r="E56">
        <v>52101107</v>
      </c>
      <c r="G56" s="5">
        <v>34279.620000000003</v>
      </c>
      <c r="H56" s="5">
        <v>34279.58</v>
      </c>
      <c r="I56" s="5">
        <v>34279.58</v>
      </c>
      <c r="J56" s="5">
        <v>34279.58</v>
      </c>
      <c r="K56" s="5">
        <v>34279.58</v>
      </c>
      <c r="L56" s="5">
        <v>34279.58</v>
      </c>
      <c r="M56" s="5">
        <v>34279.58</v>
      </c>
      <c r="N56" s="6"/>
      <c r="O56" s="6">
        <f t="shared" si="1"/>
        <v>239957.10000000003</v>
      </c>
      <c r="P56" s="6">
        <f t="shared" si="2"/>
        <v>-239957.10000000003</v>
      </c>
    </row>
    <row r="57" spans="2:16" x14ac:dyDescent="0.35">
      <c r="B57" t="s">
        <v>30</v>
      </c>
      <c r="C57" s="2" t="s">
        <v>31</v>
      </c>
      <c r="D57">
        <v>80123102</v>
      </c>
      <c r="E57">
        <v>61721101</v>
      </c>
      <c r="G57" s="5">
        <v>4640.18</v>
      </c>
      <c r="H57" s="5">
        <v>0</v>
      </c>
      <c r="I57" s="5">
        <v>4462.5</v>
      </c>
      <c r="J57" s="5">
        <v>0</v>
      </c>
      <c r="K57" s="5">
        <v>2231.25</v>
      </c>
      <c r="L57" s="5">
        <v>2231.25</v>
      </c>
      <c r="M57" s="5">
        <v>0</v>
      </c>
      <c r="N57" s="5"/>
      <c r="O57" s="6">
        <f t="shared" si="1"/>
        <v>13565.18</v>
      </c>
      <c r="P57" s="6">
        <f t="shared" si="2"/>
        <v>-13565.18</v>
      </c>
    </row>
    <row r="58" spans="2:16" x14ac:dyDescent="0.35">
      <c r="B58" t="s">
        <v>30</v>
      </c>
      <c r="C58" s="2" t="s">
        <v>32</v>
      </c>
      <c r="D58">
        <v>80123102</v>
      </c>
      <c r="E58">
        <v>61721101</v>
      </c>
      <c r="G58" s="5">
        <v>3213.39</v>
      </c>
      <c r="H58" s="5">
        <v>0</v>
      </c>
      <c r="I58" s="5">
        <v>4462.5</v>
      </c>
      <c r="J58" s="5">
        <v>0</v>
      </c>
      <c r="K58" s="5">
        <v>2231.25</v>
      </c>
      <c r="L58" s="5">
        <v>2231.25</v>
      </c>
      <c r="M58" s="5">
        <v>0</v>
      </c>
      <c r="N58" s="6"/>
      <c r="O58" s="6">
        <f t="shared" si="1"/>
        <v>12138.39</v>
      </c>
      <c r="P58" s="6">
        <f t="shared" si="2"/>
        <v>-12138.39</v>
      </c>
    </row>
    <row r="59" spans="2:16" x14ac:dyDescent="0.35">
      <c r="B59" t="s">
        <v>33</v>
      </c>
      <c r="C59" s="2" t="s">
        <v>33</v>
      </c>
      <c r="D59">
        <v>80123102</v>
      </c>
      <c r="E59">
        <v>61721103</v>
      </c>
      <c r="G59" s="5">
        <v>0</v>
      </c>
      <c r="H59" s="5">
        <v>0</v>
      </c>
      <c r="I59" s="5">
        <v>1485</v>
      </c>
      <c r="J59" s="5">
        <v>0</v>
      </c>
      <c r="K59" s="5">
        <v>1569</v>
      </c>
      <c r="L59" s="5">
        <v>708</v>
      </c>
      <c r="M59" s="5">
        <v>708</v>
      </c>
      <c r="N59" s="6"/>
      <c r="O59" s="6">
        <f t="shared" si="1"/>
        <v>4470</v>
      </c>
      <c r="P59" s="6">
        <f t="shared" si="2"/>
        <v>-4470</v>
      </c>
    </row>
    <row r="60" spans="2:16" x14ac:dyDescent="0.35">
      <c r="B60" t="s">
        <v>34</v>
      </c>
      <c r="C60" t="s">
        <v>34</v>
      </c>
      <c r="D60">
        <v>81123102</v>
      </c>
      <c r="E60">
        <v>52041499</v>
      </c>
      <c r="G60" s="5">
        <v>0</v>
      </c>
      <c r="H60" s="5">
        <v>205446.96</v>
      </c>
      <c r="I60" s="5">
        <v>167572.49999999997</v>
      </c>
      <c r="J60" s="5">
        <v>348461.00999999995</v>
      </c>
      <c r="K60" s="5">
        <v>0</v>
      </c>
      <c r="L60" s="5">
        <v>199667.33</v>
      </c>
      <c r="M60" s="5">
        <v>226192.28999999998</v>
      </c>
      <c r="N60" s="6"/>
      <c r="O60" s="6">
        <f t="shared" si="1"/>
        <v>1147340.0899999999</v>
      </c>
      <c r="P60" s="6">
        <f t="shared" si="2"/>
        <v>-1147340.0899999999</v>
      </c>
    </row>
    <row r="61" spans="2:16" x14ac:dyDescent="0.35">
      <c r="B61" t="s">
        <v>34</v>
      </c>
      <c r="C61" t="s">
        <v>34</v>
      </c>
      <c r="D61">
        <v>81123102</v>
      </c>
      <c r="E61">
        <v>52041499</v>
      </c>
      <c r="G61" s="5">
        <v>0</v>
      </c>
      <c r="H61" s="5">
        <v>41835.5</v>
      </c>
      <c r="I61" s="5">
        <v>54772.020000000004</v>
      </c>
      <c r="J61" s="5">
        <v>0</v>
      </c>
      <c r="K61" s="5">
        <v>103664.57</v>
      </c>
      <c r="L61" s="5">
        <v>0</v>
      </c>
      <c r="M61" s="5">
        <v>54663.55000000001</v>
      </c>
      <c r="N61" s="6"/>
      <c r="O61" s="6">
        <f t="shared" si="1"/>
        <v>254935.64000000004</v>
      </c>
      <c r="P61" s="6">
        <f t="shared" si="2"/>
        <v>-254935.64000000004</v>
      </c>
    </row>
    <row r="62" spans="2:16" x14ac:dyDescent="0.35">
      <c r="B62" t="s">
        <v>34</v>
      </c>
      <c r="C62" t="s">
        <v>34</v>
      </c>
      <c r="D62">
        <v>81111101</v>
      </c>
      <c r="E62">
        <v>52041499</v>
      </c>
      <c r="G62" s="5">
        <v>210000</v>
      </c>
      <c r="H62" s="5">
        <v>-4500</v>
      </c>
      <c r="I62" s="5">
        <v>-31293.649999999994</v>
      </c>
      <c r="J62" s="5">
        <v>-174206.35</v>
      </c>
      <c r="K62" s="5">
        <v>178503.87</v>
      </c>
      <c r="L62" s="5">
        <v>0</v>
      </c>
      <c r="M62" s="5">
        <v>-136437.35</v>
      </c>
      <c r="N62" s="6"/>
      <c r="O62" s="6">
        <f t="shared" si="1"/>
        <v>42066.51999999999</v>
      </c>
      <c r="P62" s="6">
        <f t="shared" si="2"/>
        <v>-42066.51999999999</v>
      </c>
    </row>
    <row r="63" spans="2:16" x14ac:dyDescent="0.35">
      <c r="B63" t="s">
        <v>34</v>
      </c>
      <c r="C63" t="s">
        <v>34</v>
      </c>
      <c r="D63">
        <v>81111101</v>
      </c>
      <c r="E63">
        <v>52041499</v>
      </c>
      <c r="G63" s="5">
        <v>45000</v>
      </c>
      <c r="H63" s="5">
        <v>500</v>
      </c>
      <c r="I63" s="5">
        <v>31791.790000000005</v>
      </c>
      <c r="J63" s="5">
        <v>26372.780000000013</v>
      </c>
      <c r="K63" s="5">
        <v>45499.74</v>
      </c>
      <c r="L63" s="5">
        <v>58271.94</v>
      </c>
      <c r="M63" s="5">
        <v>-124538.89000000001</v>
      </c>
      <c r="N63" s="6"/>
      <c r="O63" s="6">
        <f t="shared" si="1"/>
        <v>82897.360000000015</v>
      </c>
      <c r="P63" s="6">
        <f t="shared" si="2"/>
        <v>-82897.360000000015</v>
      </c>
    </row>
    <row r="64" spans="2:16" x14ac:dyDescent="0.35">
      <c r="B64" t="s">
        <v>34</v>
      </c>
      <c r="C64" t="s">
        <v>34</v>
      </c>
      <c r="D64">
        <v>81111101</v>
      </c>
      <c r="E64">
        <v>52041499</v>
      </c>
      <c r="G64" s="5">
        <v>46000</v>
      </c>
      <c r="H64" s="5">
        <v>43000</v>
      </c>
      <c r="I64" s="5">
        <v>32246.909999999996</v>
      </c>
      <c r="J64" s="5">
        <v>50943.040000000001</v>
      </c>
      <c r="K64" s="5">
        <v>-136970.19</v>
      </c>
      <c r="L64" s="5">
        <v>46072.84</v>
      </c>
      <c r="M64" s="5">
        <v>-88139.359999999986</v>
      </c>
      <c r="N64" s="6"/>
      <c r="O64" s="6">
        <f t="shared" si="1"/>
        <v>-6846.7599999999802</v>
      </c>
      <c r="P64" s="6">
        <f t="shared" si="2"/>
        <v>6846.7599999999802</v>
      </c>
    </row>
    <row r="65" spans="2:16" x14ac:dyDescent="0.35">
      <c r="B65" t="s">
        <v>34</v>
      </c>
      <c r="C65" t="s">
        <v>34</v>
      </c>
      <c r="D65" s="2">
        <v>81111101</v>
      </c>
      <c r="E65" s="2">
        <v>52041499</v>
      </c>
      <c r="F65" s="2"/>
      <c r="G65" s="5">
        <v>0</v>
      </c>
      <c r="H65" s="5">
        <v>0</v>
      </c>
      <c r="I65" s="5">
        <v>6846.76</v>
      </c>
      <c r="J65" s="5">
        <v>0</v>
      </c>
      <c r="K65" s="5">
        <v>0</v>
      </c>
      <c r="L65" s="5">
        <v>0</v>
      </c>
      <c r="M65" s="5">
        <v>0</v>
      </c>
      <c r="N65" s="6"/>
      <c r="O65" s="6">
        <f t="shared" si="1"/>
        <v>6846.76</v>
      </c>
      <c r="P65" s="6">
        <f t="shared" si="2"/>
        <v>-6846.76</v>
      </c>
    </row>
    <row r="66" spans="2:16" x14ac:dyDescent="0.35">
      <c r="B66" t="s">
        <v>34</v>
      </c>
      <c r="C66" t="s">
        <v>34</v>
      </c>
      <c r="D66">
        <v>81123102</v>
      </c>
      <c r="E66">
        <v>52041499</v>
      </c>
      <c r="G66" s="5"/>
      <c r="H66" s="5"/>
      <c r="I66" s="5"/>
      <c r="J66" s="5"/>
      <c r="K66" s="5">
        <v>179036.71</v>
      </c>
      <c r="L66" s="5">
        <v>0</v>
      </c>
      <c r="M66" s="5">
        <v>88139.359999999986</v>
      </c>
      <c r="N66" s="6"/>
      <c r="O66" s="6">
        <f t="shared" si="1"/>
        <v>267176.06999999995</v>
      </c>
      <c r="P66" s="6">
        <f t="shared" si="2"/>
        <v>-267176.06999999995</v>
      </c>
    </row>
    <row r="67" spans="2:16" x14ac:dyDescent="0.35">
      <c r="B67" t="s">
        <v>34</v>
      </c>
      <c r="C67" t="s">
        <v>34</v>
      </c>
      <c r="D67">
        <v>81123102</v>
      </c>
      <c r="E67">
        <v>52041499</v>
      </c>
      <c r="G67" s="5"/>
      <c r="H67" s="5">
        <v>13511.039999999997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6"/>
      <c r="O67" s="6">
        <f t="shared" si="1"/>
        <v>13511.039999999997</v>
      </c>
      <c r="P67" s="6">
        <f t="shared" si="2"/>
        <v>-13511.039999999997</v>
      </c>
    </row>
    <row r="68" spans="2:16" x14ac:dyDescent="0.35">
      <c r="B68" t="s">
        <v>34</v>
      </c>
      <c r="C68" t="s">
        <v>34</v>
      </c>
      <c r="D68">
        <v>81123102</v>
      </c>
      <c r="E68">
        <v>52041499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6"/>
      <c r="O68" s="6">
        <f t="shared" ref="O68:O131" si="3">SUM(G68:N68)</f>
        <v>0</v>
      </c>
      <c r="P68" s="6">
        <f t="shared" ref="P68:P131" si="4">F68-O68</f>
        <v>0</v>
      </c>
    </row>
    <row r="69" spans="2:16" x14ac:dyDescent="0.35">
      <c r="B69" t="s">
        <v>34</v>
      </c>
      <c r="C69" t="s">
        <v>34</v>
      </c>
      <c r="D69">
        <v>81123102</v>
      </c>
      <c r="E69">
        <v>52041499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6"/>
      <c r="O69" s="6">
        <f t="shared" si="3"/>
        <v>0</v>
      </c>
      <c r="P69" s="6">
        <f t="shared" si="4"/>
        <v>0</v>
      </c>
    </row>
    <row r="70" spans="2:16" x14ac:dyDescent="0.35">
      <c r="B70" t="s">
        <v>34</v>
      </c>
      <c r="C70" t="s">
        <v>34</v>
      </c>
      <c r="D70">
        <v>81123102</v>
      </c>
      <c r="E70">
        <v>52041499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6"/>
      <c r="O70" s="6">
        <f t="shared" si="3"/>
        <v>0</v>
      </c>
      <c r="P70" s="6">
        <f t="shared" si="4"/>
        <v>0</v>
      </c>
    </row>
    <row r="71" spans="2:16" x14ac:dyDescent="0.35">
      <c r="B71" t="s">
        <v>34</v>
      </c>
      <c r="C71" t="s">
        <v>34</v>
      </c>
      <c r="D71">
        <v>81123102</v>
      </c>
      <c r="E71">
        <v>52041499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6"/>
      <c r="O71" s="6">
        <f t="shared" si="3"/>
        <v>0</v>
      </c>
      <c r="P71" s="6">
        <f t="shared" si="4"/>
        <v>0</v>
      </c>
    </row>
    <row r="72" spans="2:16" x14ac:dyDescent="0.35">
      <c r="B72" t="s">
        <v>34</v>
      </c>
      <c r="C72" t="s">
        <v>34</v>
      </c>
      <c r="D72">
        <v>81123102</v>
      </c>
      <c r="E72">
        <v>52041499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6"/>
      <c r="O72" s="6">
        <f t="shared" si="3"/>
        <v>0</v>
      </c>
      <c r="P72" s="6">
        <f t="shared" si="4"/>
        <v>0</v>
      </c>
    </row>
    <row r="73" spans="2:16" x14ac:dyDescent="0.35">
      <c r="B73" t="s">
        <v>34</v>
      </c>
      <c r="C73" t="s">
        <v>34</v>
      </c>
      <c r="D73">
        <v>81123102</v>
      </c>
      <c r="E73">
        <v>52041499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6"/>
      <c r="O73" s="6">
        <f t="shared" si="3"/>
        <v>0</v>
      </c>
      <c r="P73" s="6">
        <f t="shared" si="4"/>
        <v>0</v>
      </c>
    </row>
    <row r="74" spans="2:16" x14ac:dyDescent="0.35">
      <c r="B74" t="s">
        <v>34</v>
      </c>
      <c r="C74" t="s">
        <v>34</v>
      </c>
      <c r="D74">
        <v>81123102</v>
      </c>
      <c r="E74">
        <v>52041499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6"/>
      <c r="O74" s="6">
        <f t="shared" si="3"/>
        <v>0</v>
      </c>
      <c r="P74" s="6">
        <f t="shared" si="4"/>
        <v>0</v>
      </c>
    </row>
    <row r="75" spans="2:16" x14ac:dyDescent="0.35">
      <c r="B75" t="s">
        <v>35</v>
      </c>
      <c r="C75" s="2" t="s">
        <v>35</v>
      </c>
      <c r="D75">
        <v>80123102</v>
      </c>
      <c r="E75">
        <v>61071099</v>
      </c>
      <c r="G75" s="5">
        <v>139285.71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6"/>
      <c r="O75" s="6">
        <f t="shared" si="3"/>
        <v>139285.71</v>
      </c>
      <c r="P75" s="6">
        <f t="shared" si="4"/>
        <v>-139285.71</v>
      </c>
    </row>
    <row r="76" spans="2:16" x14ac:dyDescent="0.35">
      <c r="B76" t="s">
        <v>34</v>
      </c>
      <c r="C76" t="s">
        <v>34</v>
      </c>
      <c r="D76">
        <v>81319101</v>
      </c>
      <c r="E76">
        <v>52041499</v>
      </c>
      <c r="G76" s="5">
        <v>0</v>
      </c>
      <c r="H76" s="5">
        <v>0</v>
      </c>
      <c r="I76" s="5">
        <v>173658.40000000002</v>
      </c>
      <c r="J76" s="5">
        <v>72695.100000000006</v>
      </c>
      <c r="K76" s="5">
        <v>56354.7</v>
      </c>
      <c r="L76" s="5">
        <v>59245.52</v>
      </c>
      <c r="M76" s="5">
        <v>67471.98</v>
      </c>
      <c r="N76" s="7"/>
      <c r="O76" s="6">
        <f t="shared" si="3"/>
        <v>429425.7</v>
      </c>
      <c r="P76" s="6">
        <f t="shared" si="4"/>
        <v>-429425.7</v>
      </c>
    </row>
    <row r="77" spans="2:16" x14ac:dyDescent="0.35">
      <c r="B77" t="s">
        <v>34</v>
      </c>
      <c r="C77" t="s">
        <v>34</v>
      </c>
      <c r="D77">
        <v>81319101</v>
      </c>
      <c r="E77">
        <v>52041499</v>
      </c>
      <c r="G77" s="5">
        <v>40418.32</v>
      </c>
      <c r="H77" s="5">
        <v>69347.47</v>
      </c>
      <c r="I77" s="5">
        <v>173108.88</v>
      </c>
      <c r="J77" s="5">
        <v>183854.28999999998</v>
      </c>
      <c r="K77" s="5">
        <v>126790.27</v>
      </c>
      <c r="L77" s="5">
        <v>200621.91999999998</v>
      </c>
      <c r="M77" s="5">
        <v>126290.06</v>
      </c>
      <c r="N77" s="6"/>
      <c r="O77" s="6">
        <f t="shared" si="3"/>
        <v>920431.21</v>
      </c>
      <c r="P77" s="6">
        <f t="shared" si="4"/>
        <v>-920431.21</v>
      </c>
    </row>
    <row r="78" spans="2:16" x14ac:dyDescent="0.35">
      <c r="B78" t="s">
        <v>34</v>
      </c>
      <c r="C78" t="s">
        <v>34</v>
      </c>
      <c r="D78">
        <v>81319101</v>
      </c>
      <c r="E78">
        <v>52041499</v>
      </c>
      <c r="G78" s="5">
        <v>0</v>
      </c>
      <c r="H78" s="5">
        <v>0</v>
      </c>
      <c r="I78" s="5">
        <v>80041</v>
      </c>
      <c r="J78" s="5">
        <v>0</v>
      </c>
      <c r="K78" s="5">
        <v>28490.26</v>
      </c>
      <c r="L78" s="5">
        <v>90858.470000000016</v>
      </c>
      <c r="M78" s="5">
        <v>33048.699999999997</v>
      </c>
      <c r="N78" s="6"/>
      <c r="O78" s="6">
        <f t="shared" si="3"/>
        <v>232438.43</v>
      </c>
      <c r="P78" s="6">
        <f t="shared" si="4"/>
        <v>-232438.43</v>
      </c>
    </row>
    <row r="79" spans="2:16" x14ac:dyDescent="0.35">
      <c r="B79" t="s">
        <v>34</v>
      </c>
      <c r="C79" t="s">
        <v>34</v>
      </c>
      <c r="D79">
        <v>81319101</v>
      </c>
      <c r="E79">
        <v>52041499</v>
      </c>
      <c r="G79" s="5">
        <v>49107.19</v>
      </c>
      <c r="H79" s="5">
        <v>0</v>
      </c>
      <c r="I79" s="5">
        <v>62977.97</v>
      </c>
      <c r="J79" s="5">
        <v>0</v>
      </c>
      <c r="K79" s="5">
        <v>0</v>
      </c>
      <c r="L79" s="5">
        <v>0</v>
      </c>
      <c r="M79" s="5">
        <v>0</v>
      </c>
      <c r="N79" s="6"/>
      <c r="O79" s="6">
        <f t="shared" si="3"/>
        <v>112085.16</v>
      </c>
      <c r="P79" s="6">
        <f t="shared" si="4"/>
        <v>-112085.16</v>
      </c>
    </row>
    <row r="80" spans="2:16" x14ac:dyDescent="0.35">
      <c r="B80" t="s">
        <v>34</v>
      </c>
      <c r="C80" t="s">
        <v>34</v>
      </c>
      <c r="D80" s="2">
        <v>81319101</v>
      </c>
      <c r="E80" s="2">
        <v>52041499</v>
      </c>
      <c r="F80" s="2"/>
      <c r="G80" s="5">
        <v>0</v>
      </c>
      <c r="H80" s="5">
        <v>0</v>
      </c>
      <c r="I80" s="5">
        <v>0</v>
      </c>
      <c r="J80" s="5">
        <v>77460.06</v>
      </c>
      <c r="K80" s="5">
        <v>78231.520000000004</v>
      </c>
      <c r="L80" s="5">
        <v>191941.05</v>
      </c>
      <c r="M80" s="5">
        <v>0</v>
      </c>
      <c r="N80" s="6"/>
      <c r="O80" s="6">
        <f t="shared" si="3"/>
        <v>347632.63</v>
      </c>
      <c r="P80" s="6">
        <f t="shared" si="4"/>
        <v>-347632.63</v>
      </c>
    </row>
    <row r="81" spans="2:16" x14ac:dyDescent="0.35">
      <c r="B81" t="s">
        <v>36</v>
      </c>
      <c r="C81" s="2" t="s">
        <v>37</v>
      </c>
      <c r="D81">
        <v>90122101</v>
      </c>
      <c r="E81">
        <v>52041499</v>
      </c>
      <c r="G81" s="5">
        <v>0</v>
      </c>
      <c r="H81" s="5">
        <v>0</v>
      </c>
      <c r="I81" s="5">
        <v>42208.2</v>
      </c>
      <c r="J81" s="5">
        <v>77381.7</v>
      </c>
      <c r="K81" s="5">
        <v>0</v>
      </c>
      <c r="L81" s="5">
        <v>46898</v>
      </c>
      <c r="M81" s="5">
        <v>46898</v>
      </c>
      <c r="N81" s="6"/>
      <c r="O81" s="6">
        <f t="shared" si="3"/>
        <v>213385.9</v>
      </c>
      <c r="P81" s="6">
        <f t="shared" si="4"/>
        <v>-213385.9</v>
      </c>
    </row>
    <row r="82" spans="2:16" x14ac:dyDescent="0.35">
      <c r="B82" t="s">
        <v>38</v>
      </c>
      <c r="C82" s="2" t="s">
        <v>39</v>
      </c>
      <c r="D82">
        <v>80133102</v>
      </c>
      <c r="E82">
        <v>61051199</v>
      </c>
      <c r="G82" s="5">
        <v>253750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51520</v>
      </c>
      <c r="N82" s="6"/>
      <c r="O82" s="6">
        <f t="shared" si="3"/>
        <v>305270</v>
      </c>
      <c r="P82" s="6">
        <f t="shared" si="4"/>
        <v>-305270</v>
      </c>
    </row>
    <row r="83" spans="2:16" x14ac:dyDescent="0.35">
      <c r="B83" t="s">
        <v>40</v>
      </c>
      <c r="C83" t="s">
        <v>40</v>
      </c>
      <c r="D83">
        <v>81123102</v>
      </c>
      <c r="E83">
        <v>52041405</v>
      </c>
      <c r="G83" s="5">
        <v>0</v>
      </c>
      <c r="H83" s="5">
        <v>24581.99</v>
      </c>
      <c r="I83" s="5">
        <v>42906.81</v>
      </c>
      <c r="J83" s="5">
        <v>0</v>
      </c>
      <c r="K83" s="5">
        <v>85700.040000000008</v>
      </c>
      <c r="L83" s="5">
        <v>0</v>
      </c>
      <c r="M83" s="5">
        <v>49380.06</v>
      </c>
      <c r="N83" s="6"/>
      <c r="O83" s="6">
        <f t="shared" si="3"/>
        <v>202568.90000000002</v>
      </c>
      <c r="P83" s="6">
        <f t="shared" si="4"/>
        <v>-202568.90000000002</v>
      </c>
    </row>
    <row r="84" spans="2:16" x14ac:dyDescent="0.35">
      <c r="B84" t="s">
        <v>40</v>
      </c>
      <c r="C84" t="s">
        <v>40</v>
      </c>
      <c r="D84">
        <v>81123102</v>
      </c>
      <c r="E84">
        <v>52041405</v>
      </c>
      <c r="G84" s="5">
        <v>0</v>
      </c>
      <c r="H84" s="5">
        <v>182261.86</v>
      </c>
      <c r="I84" s="5">
        <v>273918.73</v>
      </c>
      <c r="J84" s="5">
        <v>441069.27999999997</v>
      </c>
      <c r="K84" s="5">
        <v>0</v>
      </c>
      <c r="L84" s="5">
        <v>180770.87</v>
      </c>
      <c r="M84" s="5">
        <v>244048.72</v>
      </c>
      <c r="N84" s="6"/>
      <c r="O84" s="6">
        <f t="shared" si="3"/>
        <v>1322069.4599999997</v>
      </c>
      <c r="P84" s="6">
        <f t="shared" si="4"/>
        <v>-1322069.4599999997</v>
      </c>
    </row>
    <row r="85" spans="2:16" x14ac:dyDescent="0.35">
      <c r="B85" t="s">
        <v>40</v>
      </c>
      <c r="C85" t="s">
        <v>40</v>
      </c>
      <c r="D85">
        <v>81123102</v>
      </c>
      <c r="E85">
        <v>52041405</v>
      </c>
      <c r="G85" s="5">
        <v>0</v>
      </c>
      <c r="H85" s="5">
        <v>0</v>
      </c>
      <c r="I85" s="5">
        <v>57308.44</v>
      </c>
      <c r="J85" s="5">
        <v>0</v>
      </c>
      <c r="K85" s="5">
        <v>171925.32</v>
      </c>
      <c r="L85" s="5">
        <v>0</v>
      </c>
      <c r="M85" s="5">
        <v>57308.44</v>
      </c>
      <c r="N85" s="6"/>
      <c r="O85" s="6">
        <f t="shared" si="3"/>
        <v>286542.2</v>
      </c>
      <c r="P85" s="6">
        <f t="shared" si="4"/>
        <v>-286542.2</v>
      </c>
    </row>
    <row r="86" spans="2:16" x14ac:dyDescent="0.35">
      <c r="B86" t="s">
        <v>40</v>
      </c>
      <c r="C86" t="s">
        <v>40</v>
      </c>
      <c r="D86">
        <v>81111101</v>
      </c>
      <c r="E86">
        <v>52041405</v>
      </c>
      <c r="G86" s="5">
        <v>44000</v>
      </c>
      <c r="H86" s="5">
        <v>-24000</v>
      </c>
      <c r="I86" s="5">
        <v>-20000</v>
      </c>
      <c r="J86" s="5">
        <v>63483.650000000009</v>
      </c>
      <c r="K86" s="5">
        <v>24581.99</v>
      </c>
      <c r="L86" s="5">
        <v>73724.55</v>
      </c>
      <c r="M86" s="5">
        <v>-129863.45000000003</v>
      </c>
      <c r="N86" s="6"/>
      <c r="O86" s="6">
        <f t="shared" si="3"/>
        <v>31926.739999999976</v>
      </c>
      <c r="P86" s="6">
        <f t="shared" si="4"/>
        <v>-31926.739999999976</v>
      </c>
    </row>
    <row r="87" spans="2:16" x14ac:dyDescent="0.35">
      <c r="B87" t="s">
        <v>40</v>
      </c>
      <c r="C87" t="s">
        <v>40</v>
      </c>
      <c r="D87">
        <v>81111101</v>
      </c>
      <c r="E87">
        <v>52041405</v>
      </c>
      <c r="G87" s="5">
        <v>183000</v>
      </c>
      <c r="H87" s="5">
        <v>-500</v>
      </c>
      <c r="I87" s="5">
        <v>-182500</v>
      </c>
      <c r="J87" s="5">
        <v>-182261.86</v>
      </c>
      <c r="K87" s="5">
        <v>282617.03999999998</v>
      </c>
      <c r="L87" s="5">
        <v>22899.279999999999</v>
      </c>
      <c r="M87" s="5">
        <v>-305516.32</v>
      </c>
      <c r="N87" s="6"/>
      <c r="O87" s="6">
        <f t="shared" si="3"/>
        <v>-182261.86000000002</v>
      </c>
      <c r="P87" s="6">
        <f t="shared" si="4"/>
        <v>182261.86000000002</v>
      </c>
    </row>
    <row r="88" spans="2:16" x14ac:dyDescent="0.35">
      <c r="B88" t="s">
        <v>40</v>
      </c>
      <c r="C88" t="s">
        <v>40</v>
      </c>
      <c r="D88">
        <v>81111101</v>
      </c>
      <c r="E88">
        <v>52041405</v>
      </c>
      <c r="G88" s="5">
        <v>58000</v>
      </c>
      <c r="H88" s="5">
        <v>57000</v>
      </c>
      <c r="I88" s="5">
        <v>-383.11999999999534</v>
      </c>
      <c r="J88" s="5">
        <v>57308.44</v>
      </c>
      <c r="K88" s="5">
        <v>-137132.10999999999</v>
      </c>
      <c r="L88" s="5">
        <v>57308.44</v>
      </c>
      <c r="M88" s="5">
        <v>0</v>
      </c>
      <c r="N88" s="6"/>
      <c r="O88" s="6">
        <f t="shared" si="3"/>
        <v>92101.650000000023</v>
      </c>
      <c r="P88" s="6">
        <f t="shared" si="4"/>
        <v>-92101.650000000023</v>
      </c>
    </row>
    <row r="89" spans="2:16" x14ac:dyDescent="0.35">
      <c r="B89" t="s">
        <v>40</v>
      </c>
      <c r="C89" t="s">
        <v>40</v>
      </c>
      <c r="D89">
        <v>81123102</v>
      </c>
      <c r="E89">
        <v>52041405</v>
      </c>
      <c r="G89" s="5">
        <v>0</v>
      </c>
      <c r="H89" s="5">
        <v>0</v>
      </c>
      <c r="I89" s="6"/>
      <c r="J89" s="5">
        <v>0</v>
      </c>
      <c r="K89" s="5">
        <v>0</v>
      </c>
      <c r="L89" s="5">
        <v>0</v>
      </c>
      <c r="M89" s="5">
        <v>0</v>
      </c>
      <c r="N89" s="6"/>
      <c r="O89" s="6">
        <f t="shared" si="3"/>
        <v>0</v>
      </c>
      <c r="P89" s="6">
        <f t="shared" si="4"/>
        <v>0</v>
      </c>
    </row>
    <row r="90" spans="2:16" x14ac:dyDescent="0.35">
      <c r="B90" t="s">
        <v>40</v>
      </c>
      <c r="C90" t="s">
        <v>40</v>
      </c>
      <c r="D90">
        <v>81123102</v>
      </c>
      <c r="E90">
        <v>52041405</v>
      </c>
      <c r="G90" s="5">
        <v>0</v>
      </c>
      <c r="H90" s="5">
        <v>0</v>
      </c>
      <c r="I90" s="6"/>
      <c r="J90" s="5">
        <v>0</v>
      </c>
      <c r="K90" s="5">
        <v>0</v>
      </c>
      <c r="L90" s="5">
        <v>0</v>
      </c>
      <c r="M90" s="5">
        <v>0</v>
      </c>
      <c r="N90" s="6"/>
      <c r="O90" s="6">
        <f t="shared" si="3"/>
        <v>0</v>
      </c>
      <c r="P90" s="6">
        <f t="shared" si="4"/>
        <v>0</v>
      </c>
    </row>
    <row r="91" spans="2:16" x14ac:dyDescent="0.35">
      <c r="B91" t="s">
        <v>40</v>
      </c>
      <c r="C91" t="s">
        <v>40</v>
      </c>
      <c r="D91">
        <v>81123102</v>
      </c>
      <c r="E91">
        <v>52041405</v>
      </c>
      <c r="G91" s="5">
        <v>0</v>
      </c>
      <c r="H91" s="5">
        <v>0</v>
      </c>
      <c r="I91" s="6"/>
      <c r="J91" s="5">
        <v>0</v>
      </c>
      <c r="K91" s="5">
        <v>0</v>
      </c>
      <c r="L91" s="5">
        <v>0</v>
      </c>
      <c r="M91" s="5">
        <v>0</v>
      </c>
      <c r="N91" s="6"/>
      <c r="O91" s="6">
        <f t="shared" si="3"/>
        <v>0</v>
      </c>
      <c r="P91" s="6">
        <f t="shared" si="4"/>
        <v>0</v>
      </c>
    </row>
    <row r="92" spans="2:16" x14ac:dyDescent="0.35">
      <c r="B92" t="s">
        <v>40</v>
      </c>
      <c r="C92" t="s">
        <v>40</v>
      </c>
      <c r="D92">
        <v>81123102</v>
      </c>
      <c r="E92">
        <v>52041405</v>
      </c>
      <c r="G92" s="5">
        <v>0</v>
      </c>
      <c r="H92" s="5">
        <v>0</v>
      </c>
      <c r="I92" s="6"/>
      <c r="J92" s="5">
        <v>0</v>
      </c>
      <c r="K92" s="5">
        <v>0</v>
      </c>
      <c r="L92" s="5">
        <v>0</v>
      </c>
      <c r="M92" s="5">
        <v>0</v>
      </c>
      <c r="N92" s="6"/>
      <c r="O92" s="6">
        <f t="shared" si="3"/>
        <v>0</v>
      </c>
      <c r="P92" s="6">
        <f t="shared" si="4"/>
        <v>0</v>
      </c>
    </row>
    <row r="93" spans="2:16" x14ac:dyDescent="0.35">
      <c r="B93" t="s">
        <v>40</v>
      </c>
      <c r="C93" t="s">
        <v>40</v>
      </c>
      <c r="D93">
        <v>81123102</v>
      </c>
      <c r="E93">
        <v>52041405</v>
      </c>
      <c r="G93" s="5">
        <v>0</v>
      </c>
      <c r="H93" s="5">
        <v>0</v>
      </c>
      <c r="I93" s="6"/>
      <c r="J93" s="5">
        <v>0</v>
      </c>
      <c r="K93" s="5">
        <v>0</v>
      </c>
      <c r="L93" s="5">
        <v>0</v>
      </c>
      <c r="M93" s="5">
        <v>0</v>
      </c>
      <c r="N93" s="6"/>
      <c r="O93" s="6">
        <f t="shared" si="3"/>
        <v>0</v>
      </c>
      <c r="P93" s="6">
        <f t="shared" si="4"/>
        <v>0</v>
      </c>
    </row>
    <row r="94" spans="2:16" x14ac:dyDescent="0.35">
      <c r="B94" t="s">
        <v>40</v>
      </c>
      <c r="C94" t="s">
        <v>40</v>
      </c>
      <c r="D94">
        <v>81123102</v>
      </c>
      <c r="E94">
        <v>52041405</v>
      </c>
      <c r="G94" s="5">
        <v>0</v>
      </c>
      <c r="H94" s="5">
        <v>0</v>
      </c>
      <c r="I94" s="6"/>
      <c r="J94" s="5">
        <v>0</v>
      </c>
      <c r="K94" s="5">
        <v>0</v>
      </c>
      <c r="L94" s="5">
        <v>0</v>
      </c>
      <c r="M94" s="5">
        <v>0</v>
      </c>
      <c r="N94" s="6"/>
      <c r="O94" s="6">
        <f t="shared" si="3"/>
        <v>0</v>
      </c>
      <c r="P94" s="6">
        <f t="shared" si="4"/>
        <v>0</v>
      </c>
    </row>
    <row r="95" spans="2:16" x14ac:dyDescent="0.35">
      <c r="B95" t="s">
        <v>40</v>
      </c>
      <c r="C95" t="s">
        <v>40</v>
      </c>
      <c r="D95">
        <v>81123102</v>
      </c>
      <c r="E95">
        <v>52041405</v>
      </c>
      <c r="G95" s="5">
        <v>0</v>
      </c>
      <c r="H95" s="5">
        <v>0</v>
      </c>
      <c r="I95" s="6"/>
      <c r="J95" s="5">
        <v>0</v>
      </c>
      <c r="K95" s="5">
        <v>0</v>
      </c>
      <c r="L95" s="5">
        <v>0</v>
      </c>
      <c r="M95" s="5">
        <v>0</v>
      </c>
      <c r="N95" s="6"/>
      <c r="O95" s="6">
        <f t="shared" si="3"/>
        <v>0</v>
      </c>
      <c r="P95" s="6">
        <f t="shared" si="4"/>
        <v>0</v>
      </c>
    </row>
    <row r="96" spans="2:16" x14ac:dyDescent="0.35">
      <c r="B96" t="s">
        <v>40</v>
      </c>
      <c r="C96" t="s">
        <v>40</v>
      </c>
      <c r="D96">
        <v>81123102</v>
      </c>
      <c r="E96">
        <v>52041405</v>
      </c>
      <c r="G96" s="5">
        <v>0</v>
      </c>
      <c r="H96" s="5">
        <v>0</v>
      </c>
      <c r="I96" s="6"/>
      <c r="J96" s="5">
        <v>0</v>
      </c>
      <c r="K96" s="5">
        <v>0</v>
      </c>
      <c r="L96" s="5">
        <v>0</v>
      </c>
      <c r="M96" s="5">
        <v>0</v>
      </c>
      <c r="N96" s="6"/>
      <c r="O96" s="6">
        <f t="shared" si="3"/>
        <v>0</v>
      </c>
      <c r="P96" s="6">
        <f t="shared" si="4"/>
        <v>0</v>
      </c>
    </row>
    <row r="97" spans="2:16" x14ac:dyDescent="0.35">
      <c r="B97" t="s">
        <v>40</v>
      </c>
      <c r="C97" t="s">
        <v>40</v>
      </c>
      <c r="D97">
        <v>81123102</v>
      </c>
      <c r="E97">
        <v>52041405</v>
      </c>
      <c r="G97" s="5">
        <v>0</v>
      </c>
      <c r="H97" s="5">
        <v>0</v>
      </c>
      <c r="I97" s="6"/>
      <c r="J97" s="5">
        <v>0</v>
      </c>
      <c r="K97" s="5">
        <v>0</v>
      </c>
      <c r="L97" s="5">
        <v>0</v>
      </c>
      <c r="M97" s="5">
        <v>0</v>
      </c>
      <c r="N97" s="6"/>
      <c r="O97" s="6">
        <f t="shared" si="3"/>
        <v>0</v>
      </c>
      <c r="P97" s="6">
        <f t="shared" si="4"/>
        <v>0</v>
      </c>
    </row>
    <row r="98" spans="2:16" x14ac:dyDescent="0.35">
      <c r="B98" t="s">
        <v>40</v>
      </c>
      <c r="C98" t="s">
        <v>40</v>
      </c>
      <c r="D98">
        <v>81123102</v>
      </c>
      <c r="E98">
        <v>52041405</v>
      </c>
      <c r="G98" s="5">
        <v>0</v>
      </c>
      <c r="H98" s="5">
        <v>0</v>
      </c>
      <c r="I98" s="6"/>
      <c r="J98" s="5">
        <v>0</v>
      </c>
      <c r="K98" s="5">
        <v>0</v>
      </c>
      <c r="L98" s="5">
        <v>0</v>
      </c>
      <c r="M98" s="5">
        <v>0</v>
      </c>
      <c r="N98" s="6"/>
      <c r="O98" s="6">
        <f t="shared" si="3"/>
        <v>0</v>
      </c>
      <c r="P98" s="6">
        <f t="shared" si="4"/>
        <v>0</v>
      </c>
    </row>
    <row r="99" spans="2:16" x14ac:dyDescent="0.35">
      <c r="B99" t="s">
        <v>40</v>
      </c>
      <c r="C99" t="s">
        <v>40</v>
      </c>
      <c r="D99">
        <v>81123102</v>
      </c>
      <c r="E99">
        <v>52041405</v>
      </c>
      <c r="G99" s="5">
        <v>0</v>
      </c>
      <c r="H99" s="5">
        <v>0</v>
      </c>
      <c r="I99" s="6"/>
      <c r="J99" s="5">
        <v>0</v>
      </c>
      <c r="K99" s="5">
        <v>0</v>
      </c>
      <c r="L99" s="5">
        <v>0</v>
      </c>
      <c r="M99" s="5">
        <v>0</v>
      </c>
      <c r="N99" s="6"/>
      <c r="O99" s="6">
        <f t="shared" si="3"/>
        <v>0</v>
      </c>
      <c r="P99" s="6">
        <f t="shared" si="4"/>
        <v>0</v>
      </c>
    </row>
    <row r="100" spans="2:16" x14ac:dyDescent="0.35">
      <c r="B100" t="s">
        <v>40</v>
      </c>
      <c r="C100" t="s">
        <v>40</v>
      </c>
      <c r="D100">
        <v>81123102</v>
      </c>
      <c r="E100">
        <v>52041405</v>
      </c>
      <c r="G100" s="5">
        <v>0</v>
      </c>
      <c r="H100" s="5">
        <v>0</v>
      </c>
      <c r="I100" s="6"/>
      <c r="J100" s="5">
        <v>0</v>
      </c>
      <c r="K100" s="5">
        <v>0</v>
      </c>
      <c r="L100" s="5">
        <v>0</v>
      </c>
      <c r="M100" s="5">
        <v>0</v>
      </c>
      <c r="N100" s="6"/>
      <c r="O100" s="6">
        <f t="shared" si="3"/>
        <v>0</v>
      </c>
      <c r="P100" s="6">
        <f t="shared" si="4"/>
        <v>0</v>
      </c>
    </row>
    <row r="101" spans="2:16" x14ac:dyDescent="0.35">
      <c r="B101" t="s">
        <v>30</v>
      </c>
      <c r="C101" s="2" t="s">
        <v>30</v>
      </c>
      <c r="D101">
        <v>81123102</v>
      </c>
      <c r="E101">
        <v>52951101</v>
      </c>
      <c r="G101" s="5">
        <v>139401.9500000001</v>
      </c>
      <c r="H101" s="5">
        <v>100098.10000000012</v>
      </c>
      <c r="I101" s="5">
        <v>152674.64000000036</v>
      </c>
      <c r="J101" s="5">
        <v>149027.81000000011</v>
      </c>
      <c r="K101" s="5">
        <v>110554.60000000011</v>
      </c>
      <c r="L101" s="5">
        <v>148827.77000000014</v>
      </c>
      <c r="M101" s="5">
        <v>34828.220000000147</v>
      </c>
      <c r="N101" s="6"/>
      <c r="O101" s="6">
        <f t="shared" si="3"/>
        <v>835413.09000000102</v>
      </c>
      <c r="P101" s="6">
        <f t="shared" si="4"/>
        <v>-835413.09000000102</v>
      </c>
    </row>
    <row r="102" spans="2:16" x14ac:dyDescent="0.35">
      <c r="B102" t="s">
        <v>41</v>
      </c>
      <c r="C102" s="2" t="s">
        <v>41</v>
      </c>
      <c r="D102">
        <v>80124101</v>
      </c>
      <c r="E102">
        <v>61711102</v>
      </c>
      <c r="G102" s="5">
        <v>21123.95</v>
      </c>
      <c r="H102" s="5">
        <v>21123.95</v>
      </c>
      <c r="I102" s="5">
        <v>14309.77</v>
      </c>
      <c r="J102" s="5">
        <v>0</v>
      </c>
      <c r="K102" s="5">
        <v>0</v>
      </c>
      <c r="L102" s="5">
        <v>0</v>
      </c>
      <c r="M102" s="5">
        <v>0</v>
      </c>
      <c r="N102" s="6"/>
      <c r="O102" s="6">
        <f t="shared" si="3"/>
        <v>56557.67</v>
      </c>
      <c r="P102" s="6">
        <f t="shared" si="4"/>
        <v>-56557.67</v>
      </c>
    </row>
    <row r="103" spans="2:16" x14ac:dyDescent="0.35">
      <c r="B103" t="s">
        <v>42</v>
      </c>
      <c r="C103" s="2" t="s">
        <v>43</v>
      </c>
      <c r="D103" s="2">
        <v>81124101</v>
      </c>
      <c r="E103" s="2">
        <v>52952103</v>
      </c>
      <c r="F103" s="2"/>
      <c r="G103" s="5"/>
      <c r="H103" s="5"/>
      <c r="I103" s="5"/>
      <c r="J103" s="5"/>
      <c r="K103" s="5"/>
      <c r="L103" s="5"/>
      <c r="M103" s="5">
        <v>59599.200000000004</v>
      </c>
      <c r="N103" s="6"/>
      <c r="O103" s="6">
        <f t="shared" si="3"/>
        <v>59599.200000000004</v>
      </c>
      <c r="P103" s="6">
        <f t="shared" si="4"/>
        <v>-59599.200000000004</v>
      </c>
    </row>
    <row r="104" spans="2:16" x14ac:dyDescent="0.35">
      <c r="B104" t="s">
        <v>44</v>
      </c>
      <c r="C104" s="2" t="s">
        <v>44</v>
      </c>
      <c r="D104">
        <v>80124101</v>
      </c>
      <c r="E104">
        <v>61711102</v>
      </c>
      <c r="G104" s="5">
        <v>0</v>
      </c>
      <c r="H104" s="5">
        <v>0</v>
      </c>
      <c r="I104" s="5">
        <v>0</v>
      </c>
      <c r="J104" s="5">
        <v>0</v>
      </c>
      <c r="K104" s="5">
        <v>141467.35999999999</v>
      </c>
      <c r="L104" s="5">
        <v>0</v>
      </c>
      <c r="M104" s="5">
        <v>0</v>
      </c>
      <c r="N104" s="6"/>
      <c r="O104" s="6">
        <f t="shared" si="3"/>
        <v>141467.35999999999</v>
      </c>
      <c r="P104" s="6">
        <f t="shared" si="4"/>
        <v>-141467.35999999999</v>
      </c>
    </row>
    <row r="105" spans="2:16" x14ac:dyDescent="0.35">
      <c r="B105" t="s">
        <v>45</v>
      </c>
      <c r="C105" s="2" t="s">
        <v>45</v>
      </c>
      <c r="D105">
        <v>80124101</v>
      </c>
      <c r="E105">
        <v>61711102</v>
      </c>
      <c r="G105" s="5">
        <v>25669.64</v>
      </c>
      <c r="H105" s="5">
        <v>25669.64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6"/>
      <c r="O105" s="6">
        <f t="shared" si="3"/>
        <v>51339.28</v>
      </c>
      <c r="P105" s="6">
        <f t="shared" si="4"/>
        <v>-51339.28</v>
      </c>
    </row>
    <row r="106" spans="2:16" x14ac:dyDescent="0.35">
      <c r="B106" t="s">
        <v>45</v>
      </c>
      <c r="C106" s="2" t="s">
        <v>45</v>
      </c>
      <c r="D106">
        <v>80124101</v>
      </c>
      <c r="E106">
        <v>61711102</v>
      </c>
      <c r="G106" s="5">
        <v>0</v>
      </c>
      <c r="H106" s="5">
        <v>0</v>
      </c>
      <c r="I106" s="5">
        <v>0</v>
      </c>
      <c r="J106" s="5">
        <v>0</v>
      </c>
      <c r="K106" s="5">
        <v>56143.7</v>
      </c>
      <c r="L106" s="5">
        <v>0</v>
      </c>
      <c r="M106" s="5">
        <v>0</v>
      </c>
      <c r="N106" s="6"/>
      <c r="O106" s="6">
        <f t="shared" si="3"/>
        <v>56143.7</v>
      </c>
      <c r="P106" s="6">
        <f t="shared" si="4"/>
        <v>-56143.7</v>
      </c>
    </row>
    <row r="107" spans="2:16" x14ac:dyDescent="0.35">
      <c r="B107" t="s">
        <v>46</v>
      </c>
      <c r="C107" s="2" t="s">
        <v>46</v>
      </c>
      <c r="D107" s="2">
        <v>81124101</v>
      </c>
      <c r="E107" s="2">
        <v>52952103</v>
      </c>
      <c r="F107" s="2"/>
      <c r="G107" s="5">
        <v>0</v>
      </c>
      <c r="H107" s="5">
        <v>0</v>
      </c>
      <c r="I107" s="5">
        <v>0</v>
      </c>
      <c r="J107" s="5">
        <v>128303.54999999999</v>
      </c>
      <c r="K107" s="5">
        <v>25660.71</v>
      </c>
      <c r="L107" s="5">
        <v>25660.71</v>
      </c>
      <c r="M107" s="5">
        <v>25660.71</v>
      </c>
      <c r="N107" s="6"/>
      <c r="O107" s="6">
        <f t="shared" si="3"/>
        <v>205285.67999999996</v>
      </c>
      <c r="P107" s="6">
        <f t="shared" si="4"/>
        <v>-205285.67999999996</v>
      </c>
    </row>
    <row r="108" spans="2:16" x14ac:dyDescent="0.35">
      <c r="B108" t="s">
        <v>47</v>
      </c>
      <c r="C108" s="2" t="s">
        <v>47</v>
      </c>
      <c r="D108">
        <v>80124101</v>
      </c>
      <c r="E108">
        <v>61711102</v>
      </c>
      <c r="G108" s="5">
        <v>55803.57</v>
      </c>
      <c r="H108" s="5">
        <v>55803.57</v>
      </c>
      <c r="I108" s="5">
        <v>55803.57</v>
      </c>
      <c r="J108" s="5">
        <v>55803.57</v>
      </c>
      <c r="K108" s="5">
        <v>55803.57</v>
      </c>
      <c r="L108" s="5">
        <v>55803.57</v>
      </c>
      <c r="M108" s="5">
        <v>55803.59</v>
      </c>
      <c r="N108" s="6"/>
      <c r="O108" s="6">
        <f t="shared" si="3"/>
        <v>390625.01</v>
      </c>
      <c r="P108" s="6">
        <f t="shared" si="4"/>
        <v>-390625.01</v>
      </c>
    </row>
    <row r="109" spans="2:16" x14ac:dyDescent="0.35">
      <c r="B109" t="s">
        <v>48</v>
      </c>
      <c r="C109" s="2" t="s">
        <v>49</v>
      </c>
      <c r="D109">
        <v>81124101</v>
      </c>
      <c r="E109">
        <v>52952103</v>
      </c>
      <c r="G109" s="5">
        <v>39285.71</v>
      </c>
      <c r="H109" s="5">
        <v>39285.71</v>
      </c>
      <c r="I109" s="5">
        <v>39285.71</v>
      </c>
      <c r="J109" s="5">
        <v>39285.71</v>
      </c>
      <c r="K109" s="5">
        <v>39285.71</v>
      </c>
      <c r="L109" s="5">
        <v>39285.71</v>
      </c>
      <c r="M109" s="5">
        <v>39285.71</v>
      </c>
      <c r="N109" s="6"/>
      <c r="O109" s="6">
        <f t="shared" si="3"/>
        <v>274999.96999999997</v>
      </c>
      <c r="P109" s="6">
        <f t="shared" si="4"/>
        <v>-274999.96999999997</v>
      </c>
    </row>
    <row r="110" spans="2:16" x14ac:dyDescent="0.35">
      <c r="B110" t="s">
        <v>50</v>
      </c>
      <c r="C110" s="2" t="s">
        <v>50</v>
      </c>
      <c r="D110">
        <v>81124101</v>
      </c>
      <c r="E110">
        <v>52061109</v>
      </c>
      <c r="G110" s="5">
        <v>0</v>
      </c>
      <c r="H110" s="5">
        <v>0</v>
      </c>
      <c r="I110" s="5">
        <v>34089.29</v>
      </c>
      <c r="J110" s="5">
        <v>227678.57</v>
      </c>
      <c r="K110" s="5">
        <v>1148</v>
      </c>
      <c r="L110" s="5">
        <v>0</v>
      </c>
      <c r="M110" s="5">
        <v>0</v>
      </c>
      <c r="N110" s="6"/>
      <c r="O110" s="6">
        <f t="shared" si="3"/>
        <v>262915.86</v>
      </c>
      <c r="P110" s="6">
        <f t="shared" si="4"/>
        <v>-262915.86</v>
      </c>
    </row>
    <row r="111" spans="2:16" x14ac:dyDescent="0.35">
      <c r="B111" t="s">
        <v>51</v>
      </c>
      <c r="C111" s="2" t="s">
        <v>51</v>
      </c>
      <c r="D111" s="2">
        <v>81124101</v>
      </c>
      <c r="E111" s="2">
        <v>52952103</v>
      </c>
      <c r="F111" s="2"/>
      <c r="G111" s="5">
        <v>15557.36</v>
      </c>
      <c r="H111" s="5">
        <v>15557.36</v>
      </c>
      <c r="I111" s="5">
        <v>15557.36</v>
      </c>
      <c r="J111" s="5">
        <v>15557.36</v>
      </c>
      <c r="K111" s="5">
        <v>15557.36</v>
      </c>
      <c r="L111" s="5">
        <v>15557.36</v>
      </c>
      <c r="M111" s="5">
        <v>15557.36</v>
      </c>
      <c r="N111" s="6"/>
      <c r="O111" s="6">
        <f t="shared" si="3"/>
        <v>108901.52</v>
      </c>
      <c r="P111" s="6">
        <f t="shared" si="4"/>
        <v>-108901.52</v>
      </c>
    </row>
    <row r="112" spans="2:16" x14ac:dyDescent="0.35">
      <c r="B112" t="s">
        <v>52</v>
      </c>
      <c r="C112" s="2" t="s">
        <v>52</v>
      </c>
      <c r="D112">
        <v>80124101</v>
      </c>
      <c r="E112">
        <v>61711102</v>
      </c>
      <c r="G112" s="5">
        <v>365145.17</v>
      </c>
      <c r="H112" s="5">
        <v>365145.17</v>
      </c>
      <c r="I112" s="5">
        <v>365145.17</v>
      </c>
      <c r="J112" s="5">
        <v>365145.17</v>
      </c>
      <c r="K112" s="5">
        <v>0</v>
      </c>
      <c r="L112" s="5">
        <v>0</v>
      </c>
      <c r="M112" s="5">
        <v>0</v>
      </c>
      <c r="N112" s="6"/>
      <c r="O112" s="6">
        <f t="shared" si="3"/>
        <v>1460580.68</v>
      </c>
      <c r="P112" s="6">
        <f t="shared" si="4"/>
        <v>-1460580.68</v>
      </c>
    </row>
    <row r="113" spans="2:16" x14ac:dyDescent="0.35">
      <c r="B113" t="s">
        <v>52</v>
      </c>
      <c r="C113" s="2" t="s">
        <v>52</v>
      </c>
      <c r="D113">
        <v>81124101</v>
      </c>
      <c r="E113">
        <v>52952103</v>
      </c>
      <c r="G113" s="5">
        <v>117682.35</v>
      </c>
      <c r="H113" s="5">
        <v>117682.35</v>
      </c>
      <c r="I113" s="5">
        <v>117682.35</v>
      </c>
      <c r="J113" s="5">
        <v>117682.35</v>
      </c>
      <c r="K113" s="5">
        <v>0</v>
      </c>
      <c r="L113" s="5">
        <v>895014.42</v>
      </c>
      <c r="M113" s="5">
        <v>447507.21</v>
      </c>
      <c r="N113" s="6"/>
      <c r="O113" s="6">
        <f t="shared" si="3"/>
        <v>1813251.03</v>
      </c>
      <c r="P113" s="6">
        <f t="shared" si="4"/>
        <v>-1813251.03</v>
      </c>
    </row>
    <row r="114" spans="2:16" x14ac:dyDescent="0.35">
      <c r="B114" t="s">
        <v>53</v>
      </c>
      <c r="C114" s="2" t="s">
        <v>53</v>
      </c>
      <c r="D114">
        <v>80124101</v>
      </c>
      <c r="E114">
        <v>61711102</v>
      </c>
      <c r="G114" s="5">
        <v>87944.48</v>
      </c>
      <c r="H114" s="5">
        <v>87944.5</v>
      </c>
      <c r="I114" s="5">
        <v>87944.49</v>
      </c>
      <c r="J114" s="5">
        <v>87944.49</v>
      </c>
      <c r="K114" s="5">
        <v>424720.45999999996</v>
      </c>
      <c r="L114" s="5">
        <v>-274113.12</v>
      </c>
      <c r="M114" s="5">
        <v>91032.05</v>
      </c>
      <c r="N114" s="6"/>
      <c r="O114" s="6">
        <f t="shared" si="3"/>
        <v>593417.35</v>
      </c>
      <c r="P114" s="6">
        <f t="shared" si="4"/>
        <v>-593417.35</v>
      </c>
    </row>
    <row r="115" spans="2:16" x14ac:dyDescent="0.35">
      <c r="B115" t="s">
        <v>54</v>
      </c>
      <c r="C115" s="2" t="s">
        <v>54</v>
      </c>
      <c r="D115">
        <v>80124101</v>
      </c>
      <c r="E115">
        <v>61711102</v>
      </c>
      <c r="G115" s="5">
        <v>20571.43</v>
      </c>
      <c r="H115" s="5">
        <v>10285.709999999999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6"/>
      <c r="O115" s="6">
        <f t="shared" si="3"/>
        <v>30857.14</v>
      </c>
      <c r="P115" s="6">
        <f t="shared" si="4"/>
        <v>-30857.14</v>
      </c>
    </row>
    <row r="116" spans="2:16" x14ac:dyDescent="0.35">
      <c r="B116" t="s">
        <v>54</v>
      </c>
      <c r="C116" s="2" t="s">
        <v>54</v>
      </c>
      <c r="D116">
        <v>81124101</v>
      </c>
      <c r="E116">
        <v>52952103</v>
      </c>
      <c r="G116" s="5"/>
      <c r="H116" s="5"/>
      <c r="I116" s="5"/>
      <c r="J116" s="5">
        <v>187885.71</v>
      </c>
      <c r="K116" s="5">
        <v>146133.32999999999</v>
      </c>
      <c r="L116" s="5">
        <v>83504.759999999995</v>
      </c>
      <c r="M116" s="5">
        <v>83504.759999999995</v>
      </c>
      <c r="N116" s="6"/>
      <c r="O116" s="6">
        <f t="shared" si="3"/>
        <v>501028.56</v>
      </c>
      <c r="P116" s="6">
        <f t="shared" si="4"/>
        <v>-501028.56</v>
      </c>
    </row>
    <row r="117" spans="2:16" x14ac:dyDescent="0.35">
      <c r="B117" t="s">
        <v>55</v>
      </c>
      <c r="C117" s="2" t="s">
        <v>56</v>
      </c>
      <c r="D117">
        <v>80124101</v>
      </c>
      <c r="E117">
        <v>61711102</v>
      </c>
      <c r="G117" s="5">
        <v>56333.18</v>
      </c>
      <c r="H117" s="5">
        <v>56333.18</v>
      </c>
      <c r="I117" s="5">
        <v>43612.79</v>
      </c>
      <c r="J117" s="5">
        <v>0</v>
      </c>
      <c r="K117" s="5">
        <v>0</v>
      </c>
      <c r="L117" s="5">
        <v>0</v>
      </c>
      <c r="M117" s="5">
        <v>0</v>
      </c>
      <c r="N117" s="6"/>
      <c r="O117" s="6">
        <f t="shared" si="3"/>
        <v>156279.15</v>
      </c>
      <c r="P117" s="6">
        <f t="shared" si="4"/>
        <v>-156279.15</v>
      </c>
    </row>
    <row r="118" spans="2:16" x14ac:dyDescent="0.35">
      <c r="B118" t="s">
        <v>57</v>
      </c>
      <c r="C118" s="2" t="s">
        <v>57</v>
      </c>
      <c r="D118">
        <v>80124101</v>
      </c>
      <c r="E118">
        <v>61711102</v>
      </c>
      <c r="G118" s="5">
        <v>117708.11</v>
      </c>
      <c r="H118" s="5">
        <v>117708.11</v>
      </c>
      <c r="I118" s="5">
        <v>117708.11</v>
      </c>
      <c r="J118" s="5">
        <v>117708.11</v>
      </c>
      <c r="K118" s="5">
        <v>117708.11</v>
      </c>
      <c r="L118" s="5">
        <v>98090.09</v>
      </c>
      <c r="M118" s="5">
        <v>122908.59</v>
      </c>
      <c r="N118" s="6"/>
      <c r="O118" s="6">
        <f t="shared" si="3"/>
        <v>809539.23</v>
      </c>
      <c r="P118" s="6">
        <f t="shared" si="4"/>
        <v>-809539.23</v>
      </c>
    </row>
    <row r="119" spans="2:16" x14ac:dyDescent="0.35">
      <c r="B119" t="s">
        <v>58</v>
      </c>
      <c r="C119" s="2" t="s">
        <v>59</v>
      </c>
      <c r="D119">
        <v>80124101</v>
      </c>
      <c r="E119">
        <v>61711102</v>
      </c>
      <c r="G119" s="5">
        <v>80512.86</v>
      </c>
      <c r="H119" s="5">
        <v>80512.86</v>
      </c>
      <c r="I119" s="5">
        <v>80512.86</v>
      </c>
      <c r="J119" s="5">
        <v>80512.86</v>
      </c>
      <c r="K119" s="5">
        <v>80512.86</v>
      </c>
      <c r="L119" s="5">
        <v>80512.86</v>
      </c>
      <c r="M119" s="5">
        <v>64929.72</v>
      </c>
      <c r="N119" s="6"/>
      <c r="O119" s="6">
        <f t="shared" si="3"/>
        <v>548006.88</v>
      </c>
      <c r="P119" s="6">
        <f t="shared" si="4"/>
        <v>-548006.88</v>
      </c>
    </row>
    <row r="120" spans="2:16" x14ac:dyDescent="0.35">
      <c r="B120" t="s">
        <v>60</v>
      </c>
      <c r="C120" s="2" t="s">
        <v>61</v>
      </c>
      <c r="D120">
        <v>80124101</v>
      </c>
      <c r="E120">
        <v>61711102</v>
      </c>
      <c r="G120" s="5">
        <v>0</v>
      </c>
      <c r="H120" s="5">
        <v>0</v>
      </c>
      <c r="I120" s="5">
        <v>0</v>
      </c>
      <c r="J120" s="5">
        <v>0</v>
      </c>
      <c r="K120" s="5">
        <v>267421.34000000003</v>
      </c>
      <c r="L120" s="5">
        <v>0</v>
      </c>
      <c r="M120" s="5">
        <v>0</v>
      </c>
      <c r="N120" s="6"/>
      <c r="O120" s="6">
        <f t="shared" si="3"/>
        <v>267421.34000000003</v>
      </c>
      <c r="P120" s="6">
        <f t="shared" si="4"/>
        <v>-267421.34000000003</v>
      </c>
    </row>
    <row r="121" spans="2:16" x14ac:dyDescent="0.35">
      <c r="B121" t="s">
        <v>62</v>
      </c>
      <c r="C121" s="2" t="s">
        <v>62</v>
      </c>
      <c r="D121">
        <v>80124101</v>
      </c>
      <c r="E121">
        <v>61711102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6"/>
      <c r="O121" s="6">
        <f t="shared" si="3"/>
        <v>0</v>
      </c>
      <c r="P121" s="6">
        <f t="shared" si="4"/>
        <v>0</v>
      </c>
    </row>
    <row r="122" spans="2:16" x14ac:dyDescent="0.35">
      <c r="B122" t="s">
        <v>62</v>
      </c>
      <c r="C122" s="2" t="s">
        <v>62</v>
      </c>
      <c r="D122" s="2">
        <v>81124101</v>
      </c>
      <c r="E122" s="2">
        <v>52952103</v>
      </c>
      <c r="F122" s="2"/>
      <c r="G122" s="5">
        <v>73422.720000000001</v>
      </c>
      <c r="H122" s="5">
        <v>73422.720000000001</v>
      </c>
      <c r="I122" s="5">
        <v>73422.720000000001</v>
      </c>
      <c r="J122" s="5">
        <v>73422.720000000001</v>
      </c>
      <c r="K122" s="5">
        <v>73422.720000000001</v>
      </c>
      <c r="L122" s="5">
        <v>73422.720000000001</v>
      </c>
      <c r="M122" s="5">
        <v>73422.720000000001</v>
      </c>
      <c r="N122" s="5"/>
      <c r="O122" s="6">
        <f t="shared" si="3"/>
        <v>513959.03999999992</v>
      </c>
      <c r="P122" s="6">
        <f t="shared" si="4"/>
        <v>-513959.03999999992</v>
      </c>
    </row>
    <row r="123" spans="2:16" x14ac:dyDescent="0.35">
      <c r="B123" t="s">
        <v>63</v>
      </c>
      <c r="C123" s="2" t="s">
        <v>63</v>
      </c>
      <c r="D123">
        <v>81124101</v>
      </c>
      <c r="E123">
        <v>52952103</v>
      </c>
      <c r="G123" s="5">
        <v>44642.86</v>
      </c>
      <c r="H123" s="5">
        <v>44642.86</v>
      </c>
      <c r="I123" s="5">
        <v>44642.86</v>
      </c>
      <c r="J123" s="5">
        <v>44642.86</v>
      </c>
      <c r="K123" s="5">
        <v>44642.86</v>
      </c>
      <c r="L123" s="5">
        <v>44642.86</v>
      </c>
      <c r="M123" s="5">
        <v>44642.86</v>
      </c>
      <c r="N123" s="6"/>
      <c r="O123" s="6">
        <f t="shared" si="3"/>
        <v>312500.01999999996</v>
      </c>
      <c r="P123" s="6">
        <f t="shared" si="4"/>
        <v>-312500.01999999996</v>
      </c>
    </row>
    <row r="124" spans="2:16" x14ac:dyDescent="0.35">
      <c r="B124" t="s">
        <v>63</v>
      </c>
      <c r="C124" s="2" t="s">
        <v>63</v>
      </c>
      <c r="D124" s="2">
        <v>80124101</v>
      </c>
      <c r="E124" s="2">
        <v>61711102</v>
      </c>
      <c r="F124" s="2"/>
      <c r="G124" s="5"/>
      <c r="H124" s="5"/>
      <c r="I124" s="5"/>
      <c r="J124" s="5"/>
      <c r="K124" s="5">
        <v>412154.62</v>
      </c>
      <c r="L124" s="5">
        <v>0</v>
      </c>
      <c r="M124" s="5">
        <v>0</v>
      </c>
      <c r="N124" s="6"/>
      <c r="O124" s="6">
        <f t="shared" si="3"/>
        <v>412154.62</v>
      </c>
      <c r="P124" s="6">
        <f t="shared" si="4"/>
        <v>-412154.62</v>
      </c>
    </row>
    <row r="125" spans="2:16" x14ac:dyDescent="0.35">
      <c r="B125" t="s">
        <v>64</v>
      </c>
      <c r="C125" s="2" t="s">
        <v>64</v>
      </c>
      <c r="D125">
        <v>80124101</v>
      </c>
      <c r="E125">
        <v>61711102</v>
      </c>
      <c r="G125" s="5">
        <v>8900.91</v>
      </c>
      <c r="H125" s="5">
        <v>8900.91</v>
      </c>
      <c r="I125" s="5">
        <v>8900.91</v>
      </c>
      <c r="J125" s="5">
        <v>0</v>
      </c>
      <c r="K125" s="5">
        <v>0</v>
      </c>
      <c r="L125" s="5">
        <v>0</v>
      </c>
      <c r="M125" s="5">
        <v>0</v>
      </c>
      <c r="N125" s="6"/>
      <c r="O125" s="6">
        <f t="shared" si="3"/>
        <v>26702.73</v>
      </c>
      <c r="P125" s="6">
        <f t="shared" si="4"/>
        <v>-26702.73</v>
      </c>
    </row>
    <row r="126" spans="2:16" x14ac:dyDescent="0.35">
      <c r="B126" t="s">
        <v>64</v>
      </c>
      <c r="C126" s="2" t="s">
        <v>64</v>
      </c>
      <c r="D126" s="2">
        <v>81124101</v>
      </c>
      <c r="E126" s="2">
        <v>52952103</v>
      </c>
      <c r="F126" s="2"/>
      <c r="G126" s="5"/>
      <c r="H126" s="5"/>
      <c r="I126" s="5"/>
      <c r="J126" s="5"/>
      <c r="K126" s="5">
        <v>17801.82</v>
      </c>
      <c r="L126" s="5">
        <v>8900.91</v>
      </c>
      <c r="M126" s="5">
        <v>8900.91</v>
      </c>
      <c r="N126" s="6"/>
      <c r="O126" s="6">
        <f t="shared" si="3"/>
        <v>35603.64</v>
      </c>
      <c r="P126" s="6">
        <f t="shared" si="4"/>
        <v>-35603.64</v>
      </c>
    </row>
    <row r="127" spans="2:16" x14ac:dyDescent="0.35">
      <c r="B127" t="s">
        <v>65</v>
      </c>
      <c r="C127" s="2" t="s">
        <v>65</v>
      </c>
      <c r="D127">
        <v>80124101</v>
      </c>
      <c r="E127">
        <v>61711102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6"/>
      <c r="O127" s="6">
        <f t="shared" si="3"/>
        <v>0</v>
      </c>
      <c r="P127" s="6">
        <f t="shared" si="4"/>
        <v>0</v>
      </c>
    </row>
    <row r="128" spans="2:16" x14ac:dyDescent="0.35">
      <c r="B128" t="s">
        <v>65</v>
      </c>
      <c r="C128" s="2" t="s">
        <v>65</v>
      </c>
      <c r="D128">
        <v>81124101</v>
      </c>
      <c r="E128">
        <v>52952103</v>
      </c>
      <c r="G128" s="5">
        <v>48771.32</v>
      </c>
      <c r="H128" s="5">
        <v>48771.32</v>
      </c>
      <c r="I128" s="5">
        <v>48771.32</v>
      </c>
      <c r="J128" s="5">
        <v>48771.32</v>
      </c>
      <c r="K128" s="5">
        <v>48771.32</v>
      </c>
      <c r="L128" s="5">
        <v>48771.32</v>
      </c>
      <c r="M128" s="5">
        <v>48771.32</v>
      </c>
      <c r="N128" s="6"/>
      <c r="O128" s="6">
        <f t="shared" si="3"/>
        <v>341399.24</v>
      </c>
      <c r="P128" s="6">
        <f t="shared" si="4"/>
        <v>-341399.24</v>
      </c>
    </row>
    <row r="129" spans="2:16" x14ac:dyDescent="0.35">
      <c r="B129" t="s">
        <v>66</v>
      </c>
      <c r="C129" s="2" t="s">
        <v>66</v>
      </c>
      <c r="D129">
        <v>80124101</v>
      </c>
      <c r="E129">
        <v>61711102</v>
      </c>
      <c r="G129" s="5">
        <v>0</v>
      </c>
      <c r="H129" s="5">
        <v>0</v>
      </c>
      <c r="I129" s="5">
        <v>2554.15</v>
      </c>
      <c r="J129" s="5">
        <v>0</v>
      </c>
      <c r="K129" s="5">
        <v>0</v>
      </c>
      <c r="L129" s="5">
        <v>0</v>
      </c>
      <c r="M129" s="5">
        <v>768.41</v>
      </c>
      <c r="N129" s="6"/>
      <c r="O129" s="6">
        <f t="shared" si="3"/>
        <v>3322.56</v>
      </c>
      <c r="P129" s="6">
        <f t="shared" si="4"/>
        <v>-3322.56</v>
      </c>
    </row>
    <row r="130" spans="2:16" x14ac:dyDescent="0.35">
      <c r="B130" t="s">
        <v>66</v>
      </c>
      <c r="C130" s="2" t="s">
        <v>66</v>
      </c>
      <c r="D130">
        <v>81124101</v>
      </c>
      <c r="E130">
        <v>52952103</v>
      </c>
      <c r="G130" s="5"/>
      <c r="H130" s="5"/>
      <c r="I130" s="5">
        <v>2554.15</v>
      </c>
      <c r="J130" s="5">
        <v>0</v>
      </c>
      <c r="K130" s="5">
        <v>27233.53</v>
      </c>
      <c r="L130" s="5">
        <v>20961.259999999998</v>
      </c>
      <c r="M130" s="5">
        <v>2692.74</v>
      </c>
      <c r="N130" s="6"/>
      <c r="O130" s="6">
        <f t="shared" si="3"/>
        <v>53441.68</v>
      </c>
      <c r="P130" s="6">
        <f t="shared" si="4"/>
        <v>-53441.68</v>
      </c>
    </row>
    <row r="131" spans="2:16" x14ac:dyDescent="0.35">
      <c r="B131" t="s">
        <v>67</v>
      </c>
      <c r="C131" s="2" t="s">
        <v>67</v>
      </c>
      <c r="D131">
        <v>80124101</v>
      </c>
      <c r="E131">
        <v>61711102</v>
      </c>
      <c r="G131" s="5">
        <v>0</v>
      </c>
      <c r="H131" s="5">
        <v>9400.17</v>
      </c>
      <c r="I131" s="5">
        <v>9257.9700000000012</v>
      </c>
      <c r="J131" s="5">
        <v>9425.4700000000012</v>
      </c>
      <c r="K131" s="5">
        <v>9531.0300000000007</v>
      </c>
      <c r="L131" s="5">
        <v>9682.880000000001</v>
      </c>
      <c r="M131" s="5">
        <v>9734.630000000001</v>
      </c>
      <c r="N131" s="6"/>
      <c r="O131" s="6">
        <f t="shared" si="3"/>
        <v>57032.150000000009</v>
      </c>
      <c r="P131" s="6">
        <f t="shared" si="4"/>
        <v>-57032.150000000009</v>
      </c>
    </row>
    <row r="132" spans="2:16" x14ac:dyDescent="0.35">
      <c r="B132" t="s">
        <v>68</v>
      </c>
      <c r="C132" s="2" t="s">
        <v>69</v>
      </c>
      <c r="D132">
        <v>80124101</v>
      </c>
      <c r="E132">
        <v>61711102</v>
      </c>
      <c r="G132" s="5">
        <v>0</v>
      </c>
      <c r="H132" s="5">
        <v>141610.01999999999</v>
      </c>
      <c r="I132" s="5">
        <v>0</v>
      </c>
      <c r="J132" s="5">
        <v>137353.44</v>
      </c>
      <c r="K132" s="5">
        <v>130164.24</v>
      </c>
      <c r="L132" s="5">
        <v>139161.01999999999</v>
      </c>
      <c r="M132" s="5">
        <v>121207.87</v>
      </c>
      <c r="N132" s="6"/>
      <c r="O132" s="6">
        <f t="shared" ref="O132:O195" si="5">SUM(G132:N132)</f>
        <v>669496.59</v>
      </c>
      <c r="P132" s="6">
        <f t="shared" ref="P132:P195" si="6">F132-O132</f>
        <v>-669496.59</v>
      </c>
    </row>
    <row r="133" spans="2:16" x14ac:dyDescent="0.35">
      <c r="B133" t="s">
        <v>70</v>
      </c>
      <c r="C133" s="2" t="s">
        <v>70</v>
      </c>
      <c r="D133">
        <v>80124101</v>
      </c>
      <c r="E133">
        <v>61711102</v>
      </c>
      <c r="G133" s="5">
        <v>311287.78000000003</v>
      </c>
      <c r="H133" s="5">
        <v>0</v>
      </c>
      <c r="I133" s="5">
        <v>622575.56000000006</v>
      </c>
      <c r="J133" s="5">
        <v>311287.78000000003</v>
      </c>
      <c r="K133" s="5">
        <v>311287.78000000003</v>
      </c>
      <c r="L133" s="5">
        <v>311287.78000000003</v>
      </c>
      <c r="M133" s="5">
        <v>0</v>
      </c>
      <c r="N133" s="6"/>
      <c r="O133" s="6">
        <f t="shared" si="5"/>
        <v>1867726.6800000002</v>
      </c>
      <c r="P133" s="6">
        <f t="shared" si="6"/>
        <v>-1867726.6800000002</v>
      </c>
    </row>
    <row r="134" spans="2:16" x14ac:dyDescent="0.35">
      <c r="B134" t="s">
        <v>71</v>
      </c>
      <c r="C134" s="2" t="s">
        <v>71</v>
      </c>
      <c r="D134">
        <v>80124101</v>
      </c>
      <c r="E134">
        <v>61711102</v>
      </c>
      <c r="G134" s="5">
        <v>0</v>
      </c>
      <c r="H134" s="5">
        <v>2677.68</v>
      </c>
      <c r="I134" s="5">
        <v>2651.76</v>
      </c>
      <c r="J134" s="5">
        <v>2679.57</v>
      </c>
      <c r="K134" s="5">
        <v>2720.1</v>
      </c>
      <c r="L134" s="5">
        <v>2745.57</v>
      </c>
      <c r="M134" s="5">
        <v>2782.58</v>
      </c>
      <c r="N134" s="6"/>
      <c r="O134" s="6">
        <f t="shared" si="5"/>
        <v>16257.26</v>
      </c>
      <c r="P134" s="6">
        <f t="shared" si="6"/>
        <v>-16257.26</v>
      </c>
    </row>
    <row r="135" spans="2:16" x14ac:dyDescent="0.35">
      <c r="B135" t="s">
        <v>72</v>
      </c>
      <c r="C135" s="2" t="s">
        <v>72</v>
      </c>
      <c r="D135">
        <v>80124101</v>
      </c>
      <c r="E135">
        <v>61711102</v>
      </c>
      <c r="G135" s="5">
        <v>0</v>
      </c>
      <c r="H135" s="5">
        <v>732.28</v>
      </c>
      <c r="I135" s="5">
        <v>800.06</v>
      </c>
      <c r="J135" s="5">
        <v>827.25</v>
      </c>
      <c r="K135" s="5">
        <v>829.72</v>
      </c>
      <c r="L135" s="5">
        <v>851.31</v>
      </c>
      <c r="M135" s="5">
        <v>1159.76</v>
      </c>
      <c r="N135" s="6"/>
      <c r="O135" s="6">
        <f t="shared" si="5"/>
        <v>5200.38</v>
      </c>
      <c r="P135" s="6">
        <f t="shared" si="6"/>
        <v>-5200.38</v>
      </c>
    </row>
    <row r="136" spans="2:16" x14ac:dyDescent="0.35">
      <c r="B136" t="s">
        <v>73</v>
      </c>
      <c r="C136" s="2" t="s">
        <v>73</v>
      </c>
      <c r="D136">
        <v>81124101</v>
      </c>
      <c r="E136">
        <v>52952103</v>
      </c>
      <c r="G136" s="5">
        <v>20203.89</v>
      </c>
      <c r="H136" s="5">
        <v>20203.89</v>
      </c>
      <c r="I136" s="5">
        <v>20203.89</v>
      </c>
      <c r="J136" s="5">
        <v>20203.89</v>
      </c>
      <c r="K136" s="5">
        <v>20203.89</v>
      </c>
      <c r="L136" s="5">
        <v>20203.89</v>
      </c>
      <c r="M136" s="5">
        <v>20203.89</v>
      </c>
      <c r="N136" s="6"/>
      <c r="O136" s="6">
        <f t="shared" si="5"/>
        <v>141427.22999999998</v>
      </c>
      <c r="P136" s="6">
        <f t="shared" si="6"/>
        <v>-141427.22999999998</v>
      </c>
    </row>
    <row r="137" spans="2:16" x14ac:dyDescent="0.35">
      <c r="B137" t="s">
        <v>74</v>
      </c>
      <c r="C137" s="2" t="s">
        <v>74</v>
      </c>
      <c r="D137">
        <v>80124101</v>
      </c>
      <c r="E137">
        <v>61711102</v>
      </c>
      <c r="G137" s="5">
        <v>4453.13</v>
      </c>
      <c r="H137" s="5">
        <v>4453.13</v>
      </c>
      <c r="I137" s="5">
        <v>4453.13</v>
      </c>
      <c r="J137" s="5">
        <v>4453.13</v>
      </c>
      <c r="K137" s="5">
        <v>0</v>
      </c>
      <c r="L137" s="5">
        <v>0</v>
      </c>
      <c r="M137" s="5">
        <v>0</v>
      </c>
      <c r="N137" s="6"/>
      <c r="O137" s="6">
        <f t="shared" si="5"/>
        <v>17812.52</v>
      </c>
      <c r="P137" s="6">
        <f t="shared" si="6"/>
        <v>-17812.52</v>
      </c>
    </row>
    <row r="138" spans="2:16" x14ac:dyDescent="0.35">
      <c r="B138" t="s">
        <v>74</v>
      </c>
      <c r="C138" s="2" t="s">
        <v>74</v>
      </c>
      <c r="D138" s="2">
        <v>81124101</v>
      </c>
      <c r="E138" s="2">
        <v>52952103</v>
      </c>
      <c r="F138" s="2"/>
      <c r="G138" s="5"/>
      <c r="H138" s="5">
        <v>5937.5</v>
      </c>
      <c r="I138" s="5">
        <v>0</v>
      </c>
      <c r="J138" s="5">
        <v>0</v>
      </c>
      <c r="K138" s="6"/>
      <c r="L138" s="5">
        <v>0</v>
      </c>
      <c r="M138" s="5">
        <v>0</v>
      </c>
      <c r="N138" s="6"/>
      <c r="O138" s="6">
        <f t="shared" si="5"/>
        <v>5937.5</v>
      </c>
      <c r="P138" s="6">
        <f t="shared" si="6"/>
        <v>-5937.5</v>
      </c>
    </row>
    <row r="139" spans="2:16" x14ac:dyDescent="0.35">
      <c r="B139" t="s">
        <v>74</v>
      </c>
      <c r="C139" s="2" t="s">
        <v>74</v>
      </c>
      <c r="D139" s="2">
        <v>81124101</v>
      </c>
      <c r="E139" s="2">
        <v>52952103</v>
      </c>
      <c r="F139" s="2"/>
      <c r="G139" s="5"/>
      <c r="H139" s="5">
        <v>5937.5</v>
      </c>
      <c r="I139" s="5">
        <v>0</v>
      </c>
      <c r="J139" s="5">
        <v>0</v>
      </c>
      <c r="K139" s="6"/>
      <c r="L139" s="5">
        <v>0</v>
      </c>
      <c r="M139" s="5">
        <v>0</v>
      </c>
      <c r="N139" s="6"/>
      <c r="O139" s="6">
        <f t="shared" si="5"/>
        <v>5937.5</v>
      </c>
      <c r="P139" s="6">
        <f t="shared" si="6"/>
        <v>-5937.5</v>
      </c>
    </row>
    <row r="140" spans="2:16" x14ac:dyDescent="0.35">
      <c r="B140" t="s">
        <v>74</v>
      </c>
      <c r="C140" s="2" t="s">
        <v>74</v>
      </c>
      <c r="D140" s="2">
        <v>81124101</v>
      </c>
      <c r="E140" s="2">
        <v>52952103</v>
      </c>
      <c r="F140" s="2"/>
      <c r="G140" s="5">
        <v>0</v>
      </c>
      <c r="H140" s="5">
        <v>0</v>
      </c>
      <c r="I140" s="5">
        <v>130625</v>
      </c>
      <c r="J140" s="5">
        <v>0</v>
      </c>
      <c r="K140" s="5">
        <v>0</v>
      </c>
      <c r="L140" s="5">
        <v>0</v>
      </c>
      <c r="M140" s="5">
        <v>0</v>
      </c>
      <c r="N140" s="6"/>
      <c r="O140" s="6">
        <f t="shared" si="5"/>
        <v>130625</v>
      </c>
      <c r="P140" s="6">
        <f t="shared" si="6"/>
        <v>-130625</v>
      </c>
    </row>
    <row r="141" spans="2:16" x14ac:dyDescent="0.35">
      <c r="B141" t="s">
        <v>75</v>
      </c>
      <c r="C141" s="2" t="s">
        <v>75</v>
      </c>
      <c r="D141">
        <v>80124101</v>
      </c>
      <c r="E141">
        <v>61711102</v>
      </c>
      <c r="G141" s="5">
        <v>427336.76</v>
      </c>
      <c r="H141" s="5">
        <v>335764.54000000004</v>
      </c>
      <c r="I141" s="5">
        <v>381550.68</v>
      </c>
      <c r="J141" s="5">
        <v>381550.68</v>
      </c>
      <c r="K141" s="5">
        <v>381550.68</v>
      </c>
      <c r="L141" s="5">
        <v>381550.68</v>
      </c>
      <c r="M141" s="5">
        <v>381550.68</v>
      </c>
      <c r="N141" s="6"/>
      <c r="O141" s="6">
        <f t="shared" si="5"/>
        <v>2670854.7000000002</v>
      </c>
      <c r="P141" s="6">
        <f t="shared" si="6"/>
        <v>-2670854.7000000002</v>
      </c>
    </row>
    <row r="142" spans="2:16" x14ac:dyDescent="0.35">
      <c r="B142" t="s">
        <v>76</v>
      </c>
      <c r="C142" s="2" t="s">
        <v>76</v>
      </c>
      <c r="D142">
        <v>80124101</v>
      </c>
      <c r="E142">
        <v>61711102</v>
      </c>
      <c r="G142" s="5"/>
      <c r="H142" s="5"/>
      <c r="I142" s="5">
        <v>15284.77</v>
      </c>
      <c r="J142" s="5">
        <v>0</v>
      </c>
      <c r="K142" s="5">
        <v>15284.77</v>
      </c>
      <c r="L142" s="5">
        <v>0</v>
      </c>
      <c r="M142" s="5">
        <v>0</v>
      </c>
      <c r="N142" s="6"/>
      <c r="O142" s="6">
        <f t="shared" si="5"/>
        <v>30569.54</v>
      </c>
      <c r="P142" s="6">
        <f t="shared" si="6"/>
        <v>-30569.54</v>
      </c>
    </row>
    <row r="143" spans="2:16" x14ac:dyDescent="0.35">
      <c r="B143" t="s">
        <v>77</v>
      </c>
      <c r="C143" s="2" t="s">
        <v>77</v>
      </c>
      <c r="D143">
        <v>80124101</v>
      </c>
      <c r="E143">
        <v>61711102</v>
      </c>
      <c r="G143" s="5">
        <v>8809.5300000000007</v>
      </c>
      <c r="H143" s="5">
        <v>8809.5300000000007</v>
      </c>
      <c r="I143" s="5">
        <v>8809.5300000000007</v>
      </c>
      <c r="J143" s="5">
        <v>0</v>
      </c>
      <c r="K143" s="5">
        <v>0</v>
      </c>
      <c r="L143" s="5">
        <v>0</v>
      </c>
      <c r="M143" s="5">
        <v>0</v>
      </c>
      <c r="N143" s="6"/>
      <c r="O143" s="6">
        <f t="shared" si="5"/>
        <v>26428.590000000004</v>
      </c>
      <c r="P143" s="6">
        <f t="shared" si="6"/>
        <v>-26428.590000000004</v>
      </c>
    </row>
    <row r="144" spans="2:16" x14ac:dyDescent="0.35">
      <c r="B144" t="s">
        <v>77</v>
      </c>
      <c r="C144" s="2" t="s">
        <v>77</v>
      </c>
      <c r="D144">
        <v>81124101</v>
      </c>
      <c r="E144">
        <v>52952103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112142.86</v>
      </c>
      <c r="M144" s="5">
        <v>0</v>
      </c>
      <c r="N144" s="6"/>
      <c r="O144" s="6">
        <f t="shared" si="5"/>
        <v>112142.86</v>
      </c>
      <c r="P144" s="6">
        <f t="shared" si="6"/>
        <v>-112142.86</v>
      </c>
    </row>
    <row r="145" spans="2:16" x14ac:dyDescent="0.35">
      <c r="B145" t="s">
        <v>78</v>
      </c>
      <c r="C145" s="2" t="s">
        <v>78</v>
      </c>
      <c r="D145">
        <v>81124101</v>
      </c>
      <c r="E145">
        <v>52952103</v>
      </c>
      <c r="G145" s="5">
        <v>0</v>
      </c>
      <c r="H145" s="5">
        <v>26785.71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6"/>
      <c r="O145" s="6">
        <f t="shared" si="5"/>
        <v>26785.71</v>
      </c>
      <c r="P145" s="6">
        <f t="shared" si="6"/>
        <v>-26785.71</v>
      </c>
    </row>
    <row r="146" spans="2:16" x14ac:dyDescent="0.35">
      <c r="B146" t="s">
        <v>78</v>
      </c>
      <c r="C146" s="2" t="s">
        <v>78</v>
      </c>
      <c r="D146" s="2">
        <v>80124101</v>
      </c>
      <c r="E146" s="2">
        <v>61711102</v>
      </c>
      <c r="F146" s="2"/>
      <c r="G146" s="5"/>
      <c r="H146" s="5"/>
      <c r="I146" s="5"/>
      <c r="J146" s="5"/>
      <c r="K146" s="5">
        <v>133195.31</v>
      </c>
      <c r="L146" s="5">
        <v>0</v>
      </c>
      <c r="M146" s="5">
        <v>0</v>
      </c>
      <c r="N146" s="6"/>
      <c r="O146" s="6">
        <f t="shared" si="5"/>
        <v>133195.31</v>
      </c>
      <c r="P146" s="6">
        <f t="shared" si="6"/>
        <v>-133195.31</v>
      </c>
    </row>
    <row r="147" spans="2:16" x14ac:dyDescent="0.35">
      <c r="B147" t="s">
        <v>79</v>
      </c>
      <c r="C147" s="2" t="s">
        <v>79</v>
      </c>
      <c r="D147">
        <v>80124101</v>
      </c>
      <c r="E147">
        <v>61711102</v>
      </c>
      <c r="G147" s="5">
        <v>12343.75</v>
      </c>
      <c r="H147" s="5">
        <v>6171.88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6"/>
      <c r="O147" s="6">
        <f t="shared" si="5"/>
        <v>18515.63</v>
      </c>
      <c r="P147" s="6">
        <f t="shared" si="6"/>
        <v>-18515.63</v>
      </c>
    </row>
    <row r="148" spans="2:16" x14ac:dyDescent="0.35">
      <c r="B148" t="s">
        <v>79</v>
      </c>
      <c r="C148" s="2" t="s">
        <v>79</v>
      </c>
      <c r="D148" s="2">
        <v>81124101</v>
      </c>
      <c r="E148" s="2">
        <v>52952103</v>
      </c>
      <c r="F148" s="2"/>
      <c r="G148" s="5"/>
      <c r="H148" s="5"/>
      <c r="I148" s="5">
        <v>148125</v>
      </c>
      <c r="J148" s="5">
        <v>0</v>
      </c>
      <c r="K148" s="5">
        <v>0</v>
      </c>
      <c r="L148" s="5">
        <v>0</v>
      </c>
      <c r="M148" s="5">
        <v>0</v>
      </c>
      <c r="N148" s="6"/>
      <c r="O148" s="6">
        <f t="shared" si="5"/>
        <v>148125</v>
      </c>
      <c r="P148" s="6">
        <f t="shared" si="6"/>
        <v>-148125</v>
      </c>
    </row>
    <row r="149" spans="2:16" x14ac:dyDescent="0.35">
      <c r="B149" t="s">
        <v>80</v>
      </c>
      <c r="C149" s="2" t="s">
        <v>80</v>
      </c>
      <c r="D149">
        <v>80124101</v>
      </c>
      <c r="E149">
        <v>61711102</v>
      </c>
      <c r="G149" s="5">
        <v>10937.5</v>
      </c>
      <c r="H149" s="5">
        <v>5468.75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6"/>
      <c r="O149" s="6">
        <f t="shared" si="5"/>
        <v>16406.25</v>
      </c>
      <c r="P149" s="6">
        <f t="shared" si="6"/>
        <v>-16406.25</v>
      </c>
    </row>
    <row r="150" spans="2:16" x14ac:dyDescent="0.35">
      <c r="B150" t="s">
        <v>80</v>
      </c>
      <c r="C150" s="2" t="s">
        <v>80</v>
      </c>
      <c r="D150" s="2">
        <v>81124101</v>
      </c>
      <c r="E150" s="2">
        <v>52952103</v>
      </c>
      <c r="F150" s="2"/>
      <c r="G150" s="5"/>
      <c r="H150" s="5"/>
      <c r="I150" s="5">
        <v>155625</v>
      </c>
      <c r="J150" s="5">
        <v>0</v>
      </c>
      <c r="K150" s="5">
        <v>0</v>
      </c>
      <c r="L150" s="5">
        <v>0</v>
      </c>
      <c r="M150" s="5">
        <v>0</v>
      </c>
      <c r="N150" s="6"/>
      <c r="O150" s="6">
        <f t="shared" si="5"/>
        <v>155625</v>
      </c>
      <c r="P150" s="6">
        <f t="shared" si="6"/>
        <v>-155625</v>
      </c>
    </row>
    <row r="151" spans="2:16" x14ac:dyDescent="0.35">
      <c r="B151" t="s">
        <v>50</v>
      </c>
      <c r="C151" s="2" t="s">
        <v>50</v>
      </c>
      <c r="D151">
        <v>80124101</v>
      </c>
      <c r="E151">
        <v>61711102</v>
      </c>
      <c r="G151" s="5">
        <v>18973.21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6"/>
      <c r="O151" s="6">
        <f t="shared" si="5"/>
        <v>18973.21</v>
      </c>
      <c r="P151" s="6">
        <f t="shared" si="6"/>
        <v>-18973.21</v>
      </c>
    </row>
    <row r="152" spans="2:16" x14ac:dyDescent="0.35">
      <c r="B152" t="s">
        <v>81</v>
      </c>
      <c r="C152" s="2" t="s">
        <v>81</v>
      </c>
      <c r="D152" s="2">
        <v>90124101</v>
      </c>
      <c r="E152" s="2">
        <v>52952103</v>
      </c>
      <c r="F152" s="2"/>
      <c r="G152" s="5"/>
      <c r="H152" s="5"/>
      <c r="I152" s="5"/>
      <c r="J152" s="5"/>
      <c r="K152" s="5"/>
      <c r="L152" s="5">
        <v>4029.9</v>
      </c>
      <c r="M152" s="5">
        <v>0</v>
      </c>
      <c r="N152" s="6"/>
      <c r="O152" s="6">
        <f t="shared" si="5"/>
        <v>4029.9</v>
      </c>
      <c r="P152" s="6">
        <f t="shared" si="6"/>
        <v>-4029.9</v>
      </c>
    </row>
    <row r="153" spans="2:16" x14ac:dyDescent="0.35">
      <c r="B153" t="s">
        <v>82</v>
      </c>
      <c r="C153" s="2" t="s">
        <v>83</v>
      </c>
      <c r="D153">
        <v>81124101</v>
      </c>
      <c r="E153">
        <v>52952103</v>
      </c>
      <c r="G153" s="5">
        <v>0</v>
      </c>
      <c r="H153" s="5">
        <v>14558.28</v>
      </c>
      <c r="I153" s="5">
        <v>14317.2</v>
      </c>
      <c r="J153" s="5">
        <v>14877.59</v>
      </c>
      <c r="K153" s="5">
        <v>10692.94</v>
      </c>
      <c r="L153" s="5">
        <v>9485.2999999999993</v>
      </c>
      <c r="M153" s="5">
        <v>9444.1</v>
      </c>
      <c r="N153" s="6"/>
      <c r="O153" s="6">
        <f t="shared" si="5"/>
        <v>73375.410000000018</v>
      </c>
      <c r="P153" s="6">
        <f t="shared" si="6"/>
        <v>-73375.410000000018</v>
      </c>
    </row>
    <row r="154" spans="2:16" x14ac:dyDescent="0.35">
      <c r="B154" t="s">
        <v>82</v>
      </c>
      <c r="C154" s="2" t="s">
        <v>83</v>
      </c>
      <c r="D154" s="2">
        <v>81124101</v>
      </c>
      <c r="E154" s="2">
        <v>52952103</v>
      </c>
      <c r="F154" s="2"/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7109.31</v>
      </c>
      <c r="M154" s="5">
        <v>16997.82</v>
      </c>
      <c r="N154" s="6"/>
      <c r="O154" s="6">
        <f t="shared" si="5"/>
        <v>24107.13</v>
      </c>
      <c r="P154" s="6">
        <f t="shared" si="6"/>
        <v>-24107.13</v>
      </c>
    </row>
    <row r="155" spans="2:16" x14ac:dyDescent="0.35">
      <c r="B155" t="s">
        <v>82</v>
      </c>
      <c r="C155" s="2" t="s">
        <v>83</v>
      </c>
      <c r="D155">
        <v>80124101</v>
      </c>
      <c r="E155">
        <v>61711102</v>
      </c>
      <c r="G155" s="5">
        <v>0</v>
      </c>
      <c r="H155" s="5">
        <v>6393.4</v>
      </c>
      <c r="I155" s="5">
        <v>6407.84</v>
      </c>
      <c r="J155" s="5">
        <v>6268.1</v>
      </c>
      <c r="K155" s="5">
        <v>6607.44</v>
      </c>
      <c r="L155" s="5">
        <v>6694.45</v>
      </c>
      <c r="M155" s="5">
        <v>6989.66</v>
      </c>
      <c r="N155" s="6"/>
      <c r="O155" s="6">
        <f t="shared" si="5"/>
        <v>39360.89</v>
      </c>
      <c r="P155" s="6">
        <f t="shared" si="6"/>
        <v>-39360.89</v>
      </c>
    </row>
    <row r="156" spans="2:16" x14ac:dyDescent="0.35">
      <c r="B156" t="s">
        <v>82</v>
      </c>
      <c r="C156" s="2" t="s">
        <v>83</v>
      </c>
      <c r="D156">
        <v>80124101</v>
      </c>
      <c r="E156">
        <v>61711102</v>
      </c>
      <c r="G156" s="5">
        <v>0</v>
      </c>
      <c r="H156" s="5">
        <v>35741.910000000003</v>
      </c>
      <c r="I156" s="5">
        <v>35287.480000000003</v>
      </c>
      <c r="J156" s="5">
        <v>35755.18</v>
      </c>
      <c r="K156" s="5">
        <v>36181.29</v>
      </c>
      <c r="L156" s="5">
        <v>37183.58</v>
      </c>
      <c r="M156" s="5">
        <v>36661.629999999997</v>
      </c>
      <c r="N156" s="6"/>
      <c r="O156" s="6">
        <f t="shared" si="5"/>
        <v>216811.07</v>
      </c>
      <c r="P156" s="6">
        <f t="shared" si="6"/>
        <v>-216811.07</v>
      </c>
    </row>
    <row r="157" spans="2:16" x14ac:dyDescent="0.35">
      <c r="B157" t="s">
        <v>84</v>
      </c>
      <c r="C157" s="2" t="s">
        <v>84</v>
      </c>
      <c r="D157" s="2">
        <v>80124101</v>
      </c>
      <c r="E157" s="2">
        <v>61711102</v>
      </c>
      <c r="F157" s="2"/>
      <c r="G157" s="5"/>
      <c r="H157" s="5">
        <v>2132.0700000000002</v>
      </c>
      <c r="I157" s="5">
        <v>2132.37</v>
      </c>
      <c r="J157" s="5">
        <v>2108.61</v>
      </c>
      <c r="K157" s="5">
        <v>2195.9</v>
      </c>
      <c r="L157" s="5">
        <v>2226.0700000000002</v>
      </c>
      <c r="M157" s="5">
        <v>2239.37</v>
      </c>
      <c r="N157" s="6"/>
      <c r="O157" s="6">
        <f t="shared" si="5"/>
        <v>13034.39</v>
      </c>
      <c r="P157" s="6">
        <f t="shared" si="6"/>
        <v>-13034.39</v>
      </c>
    </row>
    <row r="158" spans="2:16" x14ac:dyDescent="0.35">
      <c r="B158" t="s">
        <v>85</v>
      </c>
      <c r="C158" s="2" t="s">
        <v>85</v>
      </c>
      <c r="D158" s="2">
        <v>80124101</v>
      </c>
      <c r="E158" s="2">
        <v>61711102</v>
      </c>
      <c r="F158" s="2"/>
      <c r="G158" s="5"/>
      <c r="H158" s="5">
        <v>135192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6"/>
      <c r="O158" s="6">
        <f t="shared" si="5"/>
        <v>135192</v>
      </c>
      <c r="P158" s="6">
        <f t="shared" si="6"/>
        <v>-135192</v>
      </c>
    </row>
    <row r="159" spans="2:16" x14ac:dyDescent="0.35">
      <c r="B159" t="s">
        <v>30</v>
      </c>
      <c r="C159" s="2" t="s">
        <v>30</v>
      </c>
      <c r="D159">
        <v>80123102</v>
      </c>
      <c r="E159">
        <v>61721101</v>
      </c>
      <c r="G159" s="5">
        <v>48004.35</v>
      </c>
      <c r="H159" s="5">
        <v>78305.610000000059</v>
      </c>
      <c r="I159" s="5">
        <v>76806.760000000038</v>
      </c>
      <c r="J159" s="5">
        <v>74313.800000000047</v>
      </c>
      <c r="K159" s="5">
        <v>72410.310000000027</v>
      </c>
      <c r="L159" s="5">
        <v>70409.73</v>
      </c>
      <c r="M159" s="5">
        <v>28382.89999999998</v>
      </c>
      <c r="N159" s="6"/>
      <c r="O159" s="6">
        <f t="shared" si="5"/>
        <v>448633.46000000014</v>
      </c>
      <c r="P159" s="6">
        <f t="shared" si="6"/>
        <v>-448633.46000000014</v>
      </c>
    </row>
    <row r="160" spans="2:16" x14ac:dyDescent="0.35">
      <c r="B160" t="s">
        <v>86</v>
      </c>
      <c r="C160" s="2" t="s">
        <v>87</v>
      </c>
      <c r="D160">
        <v>80124101</v>
      </c>
      <c r="E160">
        <v>61721105</v>
      </c>
      <c r="G160" s="5">
        <v>165000</v>
      </c>
      <c r="H160" s="5">
        <v>165000</v>
      </c>
      <c r="I160" s="5">
        <v>165000</v>
      </c>
      <c r="J160" s="5">
        <v>165000</v>
      </c>
      <c r="K160" s="5">
        <v>165000</v>
      </c>
      <c r="L160" s="5">
        <v>165000</v>
      </c>
      <c r="M160" s="5">
        <v>165000</v>
      </c>
      <c r="N160" s="6"/>
      <c r="O160" s="6">
        <f t="shared" si="5"/>
        <v>1155000</v>
      </c>
      <c r="P160" s="6">
        <f t="shared" si="6"/>
        <v>-1155000</v>
      </c>
    </row>
    <row r="161" spans="2:16" x14ac:dyDescent="0.35">
      <c r="B161" t="s">
        <v>86</v>
      </c>
      <c r="C161" s="2" t="s">
        <v>88</v>
      </c>
      <c r="D161">
        <v>80124101</v>
      </c>
      <c r="E161">
        <v>61721105</v>
      </c>
      <c r="G161" s="5">
        <v>115000</v>
      </c>
      <c r="H161" s="5">
        <v>115000</v>
      </c>
      <c r="I161" s="5">
        <v>115000</v>
      </c>
      <c r="J161" s="5">
        <v>115000</v>
      </c>
      <c r="K161" s="5">
        <v>115000</v>
      </c>
      <c r="L161" s="5">
        <v>115000</v>
      </c>
      <c r="M161" s="5">
        <v>115000</v>
      </c>
      <c r="N161" s="6"/>
      <c r="O161" s="6">
        <f t="shared" si="5"/>
        <v>805000</v>
      </c>
      <c r="P161" s="6">
        <f t="shared" si="6"/>
        <v>-805000</v>
      </c>
    </row>
    <row r="162" spans="2:16" x14ac:dyDescent="0.35">
      <c r="B162" t="s">
        <v>86</v>
      </c>
      <c r="C162" s="2" t="s">
        <v>89</v>
      </c>
      <c r="D162">
        <v>80124101</v>
      </c>
      <c r="E162">
        <v>61721105</v>
      </c>
      <c r="G162" s="5">
        <v>41530</v>
      </c>
      <c r="H162" s="5">
        <v>41530</v>
      </c>
      <c r="I162" s="5">
        <v>41530</v>
      </c>
      <c r="J162" s="5">
        <v>41530</v>
      </c>
      <c r="K162" s="5">
        <v>41530</v>
      </c>
      <c r="L162" s="5">
        <v>41530</v>
      </c>
      <c r="M162" s="5">
        <v>41530</v>
      </c>
      <c r="N162" s="6"/>
      <c r="O162" s="6">
        <f t="shared" si="5"/>
        <v>290710</v>
      </c>
      <c r="P162" s="6">
        <f t="shared" si="6"/>
        <v>-290710</v>
      </c>
    </row>
    <row r="163" spans="2:16" x14ac:dyDescent="0.35">
      <c r="B163" t="s">
        <v>86</v>
      </c>
      <c r="C163" s="2" t="s">
        <v>90</v>
      </c>
      <c r="D163">
        <v>80124101</v>
      </c>
      <c r="E163">
        <v>61721105</v>
      </c>
      <c r="G163" s="5">
        <v>0</v>
      </c>
      <c r="H163" s="5">
        <v>53022</v>
      </c>
      <c r="I163" s="5">
        <v>53022</v>
      </c>
      <c r="J163" s="5">
        <v>53022</v>
      </c>
      <c r="K163" s="5">
        <v>53022</v>
      </c>
      <c r="L163" s="5">
        <v>53022</v>
      </c>
      <c r="M163" s="5">
        <v>53022</v>
      </c>
      <c r="N163" s="6"/>
      <c r="O163" s="6">
        <f t="shared" si="5"/>
        <v>318132</v>
      </c>
      <c r="P163" s="6">
        <f t="shared" si="6"/>
        <v>-318132</v>
      </c>
    </row>
    <row r="164" spans="2:16" x14ac:dyDescent="0.35">
      <c r="B164" t="s">
        <v>86</v>
      </c>
      <c r="C164" s="2" t="s">
        <v>90</v>
      </c>
      <c r="D164">
        <v>80123102</v>
      </c>
      <c r="E164">
        <v>61721105</v>
      </c>
      <c r="G164" s="5">
        <v>53022</v>
      </c>
      <c r="H164" s="5">
        <v>0</v>
      </c>
      <c r="I164" s="5">
        <v>0</v>
      </c>
      <c r="J164" s="5">
        <v>0</v>
      </c>
      <c r="K164" s="6"/>
      <c r="L164" s="5">
        <v>0</v>
      </c>
      <c r="M164" s="5">
        <v>0</v>
      </c>
      <c r="N164" s="6"/>
      <c r="O164" s="6">
        <f t="shared" si="5"/>
        <v>53022</v>
      </c>
      <c r="P164" s="6">
        <f t="shared" si="6"/>
        <v>-53022</v>
      </c>
    </row>
    <row r="165" spans="2:16" x14ac:dyDescent="0.35">
      <c r="B165" t="s">
        <v>86</v>
      </c>
      <c r="C165" s="2" t="s">
        <v>91</v>
      </c>
      <c r="D165">
        <v>80124101</v>
      </c>
      <c r="E165">
        <v>61721105</v>
      </c>
      <c r="G165" s="5">
        <v>50000</v>
      </c>
      <c r="H165" s="5">
        <v>50000</v>
      </c>
      <c r="I165" s="5">
        <v>50000</v>
      </c>
      <c r="J165" s="5">
        <v>50000</v>
      </c>
      <c r="K165" s="5">
        <v>50000</v>
      </c>
      <c r="L165" s="5">
        <v>50000</v>
      </c>
      <c r="M165" s="5">
        <v>50000</v>
      </c>
      <c r="N165" s="6"/>
      <c r="O165" s="6">
        <f t="shared" si="5"/>
        <v>350000</v>
      </c>
      <c r="P165" s="6">
        <f t="shared" si="6"/>
        <v>-350000</v>
      </c>
    </row>
    <row r="166" spans="2:16" x14ac:dyDescent="0.35">
      <c r="B166" t="s">
        <v>86</v>
      </c>
      <c r="C166" s="2" t="s">
        <v>92</v>
      </c>
      <c r="D166">
        <v>80124101</v>
      </c>
      <c r="E166">
        <v>61721105</v>
      </c>
      <c r="G166" s="5">
        <v>45000</v>
      </c>
      <c r="H166" s="5">
        <v>45000</v>
      </c>
      <c r="I166" s="5">
        <v>45000</v>
      </c>
      <c r="J166" s="5">
        <v>45000</v>
      </c>
      <c r="K166" s="5">
        <v>45000</v>
      </c>
      <c r="L166" s="5">
        <v>45000</v>
      </c>
      <c r="M166" s="5">
        <v>45000</v>
      </c>
      <c r="N166" s="6"/>
      <c r="O166" s="6">
        <f t="shared" si="5"/>
        <v>315000</v>
      </c>
      <c r="P166" s="6">
        <f t="shared" si="6"/>
        <v>-315000</v>
      </c>
    </row>
    <row r="167" spans="2:16" x14ac:dyDescent="0.35">
      <c r="B167" t="s">
        <v>93</v>
      </c>
      <c r="C167" s="2" t="s">
        <v>94</v>
      </c>
      <c r="D167">
        <v>90122101</v>
      </c>
      <c r="E167">
        <v>61071099</v>
      </c>
      <c r="G167" s="5">
        <v>0</v>
      </c>
      <c r="H167" s="5">
        <v>0</v>
      </c>
      <c r="I167" s="5">
        <v>75000</v>
      </c>
      <c r="J167" s="5">
        <v>0</v>
      </c>
      <c r="K167" s="5">
        <v>0</v>
      </c>
      <c r="L167" s="5">
        <v>0</v>
      </c>
      <c r="M167" s="5">
        <v>0</v>
      </c>
      <c r="N167" s="6"/>
      <c r="O167" s="6">
        <f t="shared" si="5"/>
        <v>75000</v>
      </c>
      <c r="P167" s="6">
        <f t="shared" si="6"/>
        <v>-75000</v>
      </c>
    </row>
    <row r="168" spans="2:16" x14ac:dyDescent="0.35">
      <c r="B168" t="s">
        <v>93</v>
      </c>
      <c r="C168" s="2" t="s">
        <v>94</v>
      </c>
      <c r="D168">
        <v>81122101</v>
      </c>
      <c r="E168">
        <v>52071199</v>
      </c>
      <c r="G168" s="5">
        <v>0</v>
      </c>
      <c r="H168" s="5">
        <v>0</v>
      </c>
      <c r="I168" s="5">
        <v>55000</v>
      </c>
      <c r="J168" s="5">
        <v>0</v>
      </c>
      <c r="K168" s="5">
        <v>0</v>
      </c>
      <c r="L168" s="5">
        <v>0</v>
      </c>
      <c r="M168" s="5">
        <v>0</v>
      </c>
      <c r="N168" s="6"/>
      <c r="O168" s="6">
        <f t="shared" si="5"/>
        <v>55000</v>
      </c>
      <c r="P168" s="6">
        <f t="shared" si="6"/>
        <v>-55000</v>
      </c>
    </row>
    <row r="169" spans="2:16" x14ac:dyDescent="0.35">
      <c r="B169" t="s">
        <v>93</v>
      </c>
      <c r="C169" s="2" t="s">
        <v>94</v>
      </c>
      <c r="D169">
        <v>80122101</v>
      </c>
      <c r="E169">
        <v>61071099</v>
      </c>
      <c r="G169" s="5">
        <v>0</v>
      </c>
      <c r="H169" s="5">
        <v>100</v>
      </c>
      <c r="I169" s="5">
        <v>38191.67</v>
      </c>
      <c r="J169" s="5">
        <v>0</v>
      </c>
      <c r="K169" s="5">
        <v>0</v>
      </c>
      <c r="L169" s="5">
        <v>0</v>
      </c>
      <c r="M169" s="5">
        <v>0</v>
      </c>
      <c r="N169" s="6"/>
      <c r="O169" s="6">
        <f t="shared" si="5"/>
        <v>38291.67</v>
      </c>
      <c r="P169" s="6">
        <f t="shared" si="6"/>
        <v>-38291.67</v>
      </c>
    </row>
    <row r="170" spans="2:16" x14ac:dyDescent="0.35">
      <c r="B170" t="s">
        <v>93</v>
      </c>
      <c r="C170" s="2" t="s">
        <v>95</v>
      </c>
      <c r="D170">
        <v>90122101</v>
      </c>
      <c r="E170">
        <v>52071104</v>
      </c>
      <c r="G170" s="5">
        <v>0</v>
      </c>
      <c r="H170" s="5">
        <v>73684.22</v>
      </c>
      <c r="I170" s="5">
        <v>147368.44</v>
      </c>
      <c r="J170" s="5">
        <v>-184210.55</v>
      </c>
      <c r="K170" s="5">
        <v>-36842.11</v>
      </c>
      <c r="L170" s="5">
        <v>36842.1</v>
      </c>
      <c r="M170" s="5">
        <v>0</v>
      </c>
      <c r="N170" s="6"/>
      <c r="O170" s="6">
        <f t="shared" si="5"/>
        <v>36842.100000000013</v>
      </c>
      <c r="P170" s="6">
        <f t="shared" si="6"/>
        <v>-36842.100000000013</v>
      </c>
    </row>
    <row r="171" spans="2:16" x14ac:dyDescent="0.35">
      <c r="B171" t="s">
        <v>93</v>
      </c>
      <c r="C171" s="2" t="s">
        <v>95</v>
      </c>
      <c r="D171" s="2">
        <v>90122101</v>
      </c>
      <c r="E171" s="2">
        <v>52041499</v>
      </c>
      <c r="F171" s="2"/>
      <c r="G171" s="5">
        <v>0</v>
      </c>
      <c r="H171" s="5">
        <v>0</v>
      </c>
      <c r="I171" s="5">
        <v>-110526.33</v>
      </c>
      <c r="J171" s="5">
        <v>221052.65999999997</v>
      </c>
      <c r="K171" s="5">
        <v>73684.209999999992</v>
      </c>
      <c r="L171" s="5">
        <v>0</v>
      </c>
      <c r="M171" s="5">
        <v>0</v>
      </c>
      <c r="N171" s="6"/>
      <c r="O171" s="6">
        <f t="shared" si="5"/>
        <v>184210.53999999998</v>
      </c>
      <c r="P171" s="6">
        <f t="shared" si="6"/>
        <v>-184210.53999999998</v>
      </c>
    </row>
    <row r="172" spans="2:16" x14ac:dyDescent="0.35">
      <c r="B172" t="s">
        <v>7</v>
      </c>
      <c r="C172" s="2" t="s">
        <v>6</v>
      </c>
      <c r="D172" s="2">
        <v>81122101</v>
      </c>
      <c r="E172" s="2">
        <v>52071199</v>
      </c>
      <c r="F172" s="2"/>
      <c r="G172" s="5"/>
      <c r="H172" s="5"/>
      <c r="I172" s="5"/>
      <c r="J172" s="5"/>
      <c r="K172" s="5">
        <v>100</v>
      </c>
      <c r="L172" s="5">
        <v>0</v>
      </c>
      <c r="M172" s="5">
        <v>0</v>
      </c>
      <c r="N172" s="6"/>
      <c r="O172" s="6">
        <f t="shared" si="5"/>
        <v>100</v>
      </c>
      <c r="P172" s="6">
        <f t="shared" si="6"/>
        <v>-100</v>
      </c>
    </row>
    <row r="173" spans="2:16" x14ac:dyDescent="0.35">
      <c r="B173" t="s">
        <v>96</v>
      </c>
      <c r="C173" s="2" t="s">
        <v>97</v>
      </c>
      <c r="D173">
        <v>90122101</v>
      </c>
      <c r="E173">
        <v>52121315</v>
      </c>
      <c r="G173" s="5">
        <v>48635.38</v>
      </c>
      <c r="H173" s="5">
        <v>48635.42</v>
      </c>
      <c r="I173" s="5">
        <v>48635.42</v>
      </c>
      <c r="J173" s="5">
        <v>48635.42</v>
      </c>
      <c r="K173" s="5">
        <v>48635.42</v>
      </c>
      <c r="L173" s="5">
        <v>48635.42</v>
      </c>
      <c r="M173" s="5">
        <v>48635.42</v>
      </c>
      <c r="N173" s="6"/>
      <c r="O173" s="6">
        <f t="shared" si="5"/>
        <v>340447.89999999991</v>
      </c>
      <c r="P173" s="6">
        <f t="shared" si="6"/>
        <v>-340447.89999999991</v>
      </c>
    </row>
    <row r="174" spans="2:16" x14ac:dyDescent="0.35">
      <c r="B174" t="s">
        <v>96</v>
      </c>
      <c r="C174" s="2" t="s">
        <v>98</v>
      </c>
      <c r="D174">
        <v>80122101</v>
      </c>
      <c r="E174">
        <v>61021316</v>
      </c>
      <c r="G174" s="5">
        <v>0</v>
      </c>
      <c r="H174" s="5">
        <v>0</v>
      </c>
      <c r="I174" s="5">
        <v>5220</v>
      </c>
      <c r="J174" s="5">
        <v>0</v>
      </c>
      <c r="K174" s="5">
        <v>0</v>
      </c>
      <c r="L174" s="5">
        <v>0</v>
      </c>
      <c r="M174" s="5">
        <v>10440</v>
      </c>
      <c r="N174" s="6"/>
      <c r="O174" s="6">
        <f t="shared" si="5"/>
        <v>15660</v>
      </c>
      <c r="P174" s="6">
        <f t="shared" si="6"/>
        <v>-15660</v>
      </c>
    </row>
    <row r="175" spans="2:16" x14ac:dyDescent="0.35">
      <c r="B175" t="s">
        <v>96</v>
      </c>
      <c r="C175" s="2" t="s">
        <v>98</v>
      </c>
      <c r="D175">
        <v>81122101</v>
      </c>
      <c r="E175">
        <v>52121315</v>
      </c>
      <c r="G175" s="5">
        <v>0</v>
      </c>
      <c r="H175" s="5">
        <v>0</v>
      </c>
      <c r="I175" s="5">
        <v>3480</v>
      </c>
      <c r="J175" s="5">
        <v>0</v>
      </c>
      <c r="K175" s="5">
        <v>0</v>
      </c>
      <c r="L175" s="5">
        <v>1740</v>
      </c>
      <c r="M175" s="5">
        <v>0</v>
      </c>
      <c r="N175" s="6"/>
      <c r="O175" s="6">
        <f t="shared" si="5"/>
        <v>5220</v>
      </c>
      <c r="P175" s="6">
        <f t="shared" si="6"/>
        <v>-5220</v>
      </c>
    </row>
    <row r="176" spans="2:16" x14ac:dyDescent="0.35">
      <c r="B176" t="s">
        <v>96</v>
      </c>
      <c r="C176" s="2" t="s">
        <v>98</v>
      </c>
      <c r="D176">
        <v>90122101</v>
      </c>
      <c r="E176">
        <v>52121315</v>
      </c>
      <c r="G176" s="5">
        <v>0</v>
      </c>
      <c r="H176" s="5">
        <v>0</v>
      </c>
      <c r="I176" s="5">
        <v>0</v>
      </c>
      <c r="J176" s="5">
        <v>5220</v>
      </c>
      <c r="K176" s="5">
        <v>1740</v>
      </c>
      <c r="L176" s="5">
        <v>3480</v>
      </c>
      <c r="M176" s="5">
        <v>0</v>
      </c>
      <c r="N176" s="6"/>
      <c r="O176" s="6">
        <f t="shared" si="5"/>
        <v>10440</v>
      </c>
      <c r="P176" s="6">
        <f t="shared" si="6"/>
        <v>-10440</v>
      </c>
    </row>
    <row r="177" spans="2:16" x14ac:dyDescent="0.35">
      <c r="B177" t="s">
        <v>99</v>
      </c>
      <c r="C177" s="2" t="s">
        <v>100</v>
      </c>
      <c r="D177" s="2">
        <v>90122101</v>
      </c>
      <c r="E177" s="2">
        <v>52121315</v>
      </c>
      <c r="F177" s="2"/>
      <c r="G177" s="5"/>
      <c r="H177" s="5"/>
      <c r="I177" s="5"/>
      <c r="J177" s="5"/>
      <c r="K177" s="5">
        <v>54000</v>
      </c>
      <c r="L177" s="5">
        <v>0</v>
      </c>
      <c r="M177" s="5">
        <v>0</v>
      </c>
      <c r="N177" s="6"/>
      <c r="O177" s="6">
        <f t="shared" si="5"/>
        <v>54000</v>
      </c>
      <c r="P177" s="6">
        <f t="shared" si="6"/>
        <v>-54000</v>
      </c>
    </row>
    <row r="178" spans="2:16" x14ac:dyDescent="0.35">
      <c r="B178" t="s">
        <v>101</v>
      </c>
      <c r="C178" s="2" t="s">
        <v>102</v>
      </c>
      <c r="D178">
        <v>90111101</v>
      </c>
      <c r="E178">
        <v>61021206</v>
      </c>
      <c r="G178" s="5">
        <v>0</v>
      </c>
      <c r="H178" s="5">
        <v>0</v>
      </c>
      <c r="I178" s="5">
        <v>26593.63</v>
      </c>
      <c r="J178" s="5">
        <v>20835.63</v>
      </c>
      <c r="K178" s="5">
        <v>0</v>
      </c>
      <c r="L178" s="5">
        <v>20890.260000000002</v>
      </c>
      <c r="M178" s="5">
        <v>18233.759999999998</v>
      </c>
      <c r="N178" s="6"/>
      <c r="O178" s="6">
        <f t="shared" si="5"/>
        <v>86553.279999999999</v>
      </c>
      <c r="P178" s="6">
        <f t="shared" si="6"/>
        <v>-86553.279999999999</v>
      </c>
    </row>
    <row r="179" spans="2:16" x14ac:dyDescent="0.35">
      <c r="B179" t="s">
        <v>103</v>
      </c>
      <c r="C179" t="s">
        <v>104</v>
      </c>
      <c r="D179">
        <v>81122101</v>
      </c>
      <c r="E179">
        <v>52121401</v>
      </c>
      <c r="G179" s="5">
        <v>0</v>
      </c>
      <c r="H179" s="5">
        <v>0</v>
      </c>
      <c r="I179" s="5">
        <v>0</v>
      </c>
      <c r="J179" s="5">
        <v>0</v>
      </c>
      <c r="K179" s="5">
        <v>2289544.64</v>
      </c>
      <c r="L179" s="5">
        <v>42074.11</v>
      </c>
      <c r="M179" s="5">
        <v>0</v>
      </c>
      <c r="N179" s="6"/>
      <c r="O179" s="6">
        <f t="shared" si="5"/>
        <v>2331618.75</v>
      </c>
      <c r="P179" s="6">
        <f t="shared" si="6"/>
        <v>-2331618.75</v>
      </c>
    </row>
    <row r="180" spans="2:16" x14ac:dyDescent="0.35">
      <c r="B180" t="s">
        <v>7</v>
      </c>
      <c r="C180" s="2" t="s">
        <v>6</v>
      </c>
      <c r="D180">
        <v>81122101</v>
      </c>
      <c r="E180">
        <v>52121402</v>
      </c>
      <c r="G180" s="5">
        <v>0</v>
      </c>
      <c r="H180" s="5">
        <v>0</v>
      </c>
      <c r="I180" s="5">
        <v>0</v>
      </c>
      <c r="J180" s="5">
        <v>900</v>
      </c>
      <c r="K180" s="5">
        <v>0</v>
      </c>
      <c r="L180" s="5">
        <v>0</v>
      </c>
      <c r="M180" s="5">
        <v>0</v>
      </c>
      <c r="N180" s="6"/>
      <c r="O180" s="6">
        <f t="shared" si="5"/>
        <v>900</v>
      </c>
      <c r="P180" s="6">
        <f t="shared" si="6"/>
        <v>-900</v>
      </c>
    </row>
    <row r="181" spans="2:16" x14ac:dyDescent="0.35">
      <c r="B181" t="s">
        <v>103</v>
      </c>
      <c r="C181" s="2" t="s">
        <v>105</v>
      </c>
      <c r="D181">
        <v>81122101</v>
      </c>
      <c r="E181">
        <v>52121401</v>
      </c>
      <c r="G181" s="5"/>
      <c r="H181" s="5"/>
      <c r="I181" s="5">
        <v>5010</v>
      </c>
      <c r="J181" s="5">
        <v>0</v>
      </c>
      <c r="K181" s="5">
        <v>0</v>
      </c>
      <c r="L181" s="5">
        <v>0</v>
      </c>
      <c r="M181" s="5">
        <v>0</v>
      </c>
      <c r="N181" s="6"/>
      <c r="O181" s="6">
        <f t="shared" si="5"/>
        <v>5010</v>
      </c>
      <c r="P181" s="6">
        <f t="shared" si="6"/>
        <v>-5010</v>
      </c>
    </row>
    <row r="182" spans="2:16" x14ac:dyDescent="0.35">
      <c r="B182" t="s">
        <v>106</v>
      </c>
      <c r="C182" t="s">
        <v>107</v>
      </c>
      <c r="D182">
        <v>81122101</v>
      </c>
      <c r="E182">
        <v>52121402</v>
      </c>
      <c r="G182" s="5">
        <v>0</v>
      </c>
      <c r="H182" s="5">
        <v>1000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6"/>
      <c r="O182" s="6">
        <f t="shared" si="5"/>
        <v>1000</v>
      </c>
      <c r="P182" s="6">
        <f t="shared" si="6"/>
        <v>-1000</v>
      </c>
    </row>
    <row r="183" spans="2:16" x14ac:dyDescent="0.35">
      <c r="B183" t="s">
        <v>106</v>
      </c>
      <c r="C183" t="s">
        <v>107</v>
      </c>
      <c r="D183">
        <v>81122101</v>
      </c>
      <c r="E183">
        <v>52121401</v>
      </c>
      <c r="G183" s="5"/>
      <c r="H183" s="5"/>
      <c r="I183" s="5">
        <v>16601.29</v>
      </c>
      <c r="J183" s="5">
        <v>0</v>
      </c>
      <c r="K183" s="6"/>
      <c r="L183" s="5">
        <v>0</v>
      </c>
      <c r="M183" s="5">
        <v>0</v>
      </c>
      <c r="N183" s="6"/>
      <c r="O183" s="6">
        <f t="shared" si="5"/>
        <v>16601.29</v>
      </c>
      <c r="P183" s="6">
        <f t="shared" si="6"/>
        <v>-16601.29</v>
      </c>
    </row>
    <row r="184" spans="2:16" x14ac:dyDescent="0.35">
      <c r="B184" t="s">
        <v>106</v>
      </c>
      <c r="C184" t="s">
        <v>108</v>
      </c>
      <c r="D184">
        <v>81122101</v>
      </c>
      <c r="E184">
        <v>52121402</v>
      </c>
      <c r="G184" s="5">
        <v>0</v>
      </c>
      <c r="H184" s="5">
        <v>0</v>
      </c>
      <c r="I184" s="5">
        <v>0</v>
      </c>
      <c r="J184" s="5">
        <v>214285.71</v>
      </c>
      <c r="K184" s="6"/>
      <c r="L184" s="5">
        <v>0</v>
      </c>
      <c r="M184" s="5">
        <v>0</v>
      </c>
      <c r="N184" s="6"/>
      <c r="O184" s="6">
        <f t="shared" si="5"/>
        <v>214285.71</v>
      </c>
      <c r="P184" s="6">
        <f t="shared" si="6"/>
        <v>-214285.71</v>
      </c>
    </row>
    <row r="185" spans="2:16" x14ac:dyDescent="0.35">
      <c r="B185" t="s">
        <v>22</v>
      </c>
      <c r="C185" t="s">
        <v>109</v>
      </c>
      <c r="D185">
        <v>81122101</v>
      </c>
      <c r="E185">
        <v>52111101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6"/>
      <c r="O185" s="6">
        <f t="shared" si="5"/>
        <v>0</v>
      </c>
      <c r="P185" s="6">
        <f t="shared" si="6"/>
        <v>0</v>
      </c>
    </row>
    <row r="186" spans="2:16" x14ac:dyDescent="0.35">
      <c r="B186" t="s">
        <v>22</v>
      </c>
      <c r="C186" t="s">
        <v>109</v>
      </c>
      <c r="D186">
        <v>90122101</v>
      </c>
      <c r="E186">
        <v>52121402</v>
      </c>
      <c r="G186" s="5">
        <v>89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6"/>
      <c r="O186" s="6">
        <f t="shared" si="5"/>
        <v>89</v>
      </c>
      <c r="P186" s="6">
        <f t="shared" si="6"/>
        <v>-89</v>
      </c>
    </row>
    <row r="187" spans="2:16" x14ac:dyDescent="0.35">
      <c r="B187" t="s">
        <v>22</v>
      </c>
      <c r="C187" t="s">
        <v>109</v>
      </c>
      <c r="D187">
        <v>81122101</v>
      </c>
      <c r="E187">
        <v>52121402</v>
      </c>
      <c r="G187" s="5">
        <v>95</v>
      </c>
      <c r="H187" s="5">
        <v>2967</v>
      </c>
      <c r="I187" s="5">
        <v>13029.46</v>
      </c>
      <c r="J187" s="5">
        <v>0</v>
      </c>
      <c r="K187" s="5">
        <v>2095</v>
      </c>
      <c r="L187" s="5">
        <v>0</v>
      </c>
      <c r="M187" s="5">
        <v>13326.98</v>
      </c>
      <c r="N187" s="6"/>
      <c r="O187" s="6">
        <f t="shared" si="5"/>
        <v>31513.439999999999</v>
      </c>
      <c r="P187" s="6">
        <f t="shared" si="6"/>
        <v>-31513.439999999999</v>
      </c>
    </row>
    <row r="188" spans="2:16" x14ac:dyDescent="0.35">
      <c r="B188" t="s">
        <v>106</v>
      </c>
      <c r="C188" t="s">
        <v>110</v>
      </c>
      <c r="D188">
        <v>90122101</v>
      </c>
      <c r="E188">
        <v>52121402</v>
      </c>
      <c r="G188" s="5">
        <v>0</v>
      </c>
      <c r="H188" s="5">
        <v>0</v>
      </c>
      <c r="I188" s="5">
        <v>30000</v>
      </c>
      <c r="J188" s="5">
        <v>0</v>
      </c>
      <c r="K188" s="5">
        <v>0</v>
      </c>
      <c r="L188" s="5">
        <v>0</v>
      </c>
      <c r="M188" s="5">
        <v>10000</v>
      </c>
      <c r="N188" s="6"/>
      <c r="O188" s="6">
        <f t="shared" si="5"/>
        <v>40000</v>
      </c>
      <c r="P188" s="6">
        <f t="shared" si="6"/>
        <v>-40000</v>
      </c>
    </row>
    <row r="189" spans="2:16" x14ac:dyDescent="0.35">
      <c r="B189" t="s">
        <v>106</v>
      </c>
      <c r="C189" t="s">
        <v>110</v>
      </c>
      <c r="D189">
        <v>81122101</v>
      </c>
      <c r="E189">
        <v>52121402</v>
      </c>
      <c r="G189" s="5">
        <v>3000</v>
      </c>
      <c r="H189" s="5">
        <v>0</v>
      </c>
      <c r="I189" s="5">
        <v>3900</v>
      </c>
      <c r="J189" s="5">
        <v>0</v>
      </c>
      <c r="K189" s="5">
        <v>3700</v>
      </c>
      <c r="L189" s="5">
        <v>0</v>
      </c>
      <c r="M189" s="5">
        <v>6000</v>
      </c>
      <c r="N189" s="6"/>
      <c r="O189" s="6">
        <f t="shared" si="5"/>
        <v>16600</v>
      </c>
      <c r="P189" s="6">
        <f t="shared" si="6"/>
        <v>-16600</v>
      </c>
    </row>
    <row r="190" spans="2:16" x14ac:dyDescent="0.35">
      <c r="B190" t="s">
        <v>106</v>
      </c>
      <c r="C190" t="s">
        <v>110</v>
      </c>
      <c r="D190">
        <v>80122101</v>
      </c>
      <c r="E190">
        <v>61021403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6"/>
      <c r="O190" s="6">
        <f t="shared" si="5"/>
        <v>0</v>
      </c>
      <c r="P190" s="6">
        <f t="shared" si="6"/>
        <v>0</v>
      </c>
    </row>
    <row r="191" spans="2:16" x14ac:dyDescent="0.35">
      <c r="B191" t="s">
        <v>106</v>
      </c>
      <c r="C191" t="s">
        <v>111</v>
      </c>
      <c r="D191">
        <v>81122101</v>
      </c>
      <c r="E191">
        <v>52121402</v>
      </c>
      <c r="G191" s="5">
        <v>0</v>
      </c>
      <c r="H191" s="5">
        <v>925</v>
      </c>
      <c r="I191" s="5">
        <v>0</v>
      </c>
      <c r="J191" s="5">
        <v>0</v>
      </c>
      <c r="K191" s="5">
        <v>0</v>
      </c>
      <c r="L191" s="5">
        <v>0</v>
      </c>
      <c r="M191" s="5">
        <v>986.85</v>
      </c>
      <c r="N191" s="6"/>
      <c r="O191" s="6">
        <f t="shared" si="5"/>
        <v>1911.85</v>
      </c>
      <c r="P191" s="6">
        <f t="shared" si="6"/>
        <v>-1911.85</v>
      </c>
    </row>
    <row r="192" spans="2:16" x14ac:dyDescent="0.35">
      <c r="B192" t="s">
        <v>106</v>
      </c>
      <c r="C192" t="s">
        <v>112</v>
      </c>
      <c r="D192">
        <v>90122101</v>
      </c>
      <c r="E192">
        <v>52121402</v>
      </c>
      <c r="G192" s="5"/>
      <c r="H192" s="5"/>
      <c r="I192" s="5">
        <v>28960</v>
      </c>
      <c r="J192" s="5">
        <v>0</v>
      </c>
      <c r="K192" s="5">
        <v>0</v>
      </c>
      <c r="L192" s="5">
        <v>0</v>
      </c>
      <c r="M192" s="5">
        <v>0</v>
      </c>
      <c r="N192" s="6"/>
      <c r="O192" s="6">
        <f t="shared" si="5"/>
        <v>28960</v>
      </c>
      <c r="P192" s="6">
        <f t="shared" si="6"/>
        <v>-28960</v>
      </c>
    </row>
    <row r="193" spans="2:16" x14ac:dyDescent="0.35">
      <c r="B193" t="s">
        <v>106</v>
      </c>
      <c r="C193" t="s">
        <v>112</v>
      </c>
      <c r="D193" s="2">
        <v>81122101</v>
      </c>
      <c r="E193" s="2">
        <v>52121402</v>
      </c>
      <c r="F193" s="2"/>
      <c r="G193" s="5">
        <v>0</v>
      </c>
      <c r="H193" s="5">
        <v>0</v>
      </c>
      <c r="I193" s="5">
        <v>0</v>
      </c>
      <c r="J193" s="5">
        <v>13880</v>
      </c>
      <c r="K193" s="5">
        <v>14280</v>
      </c>
      <c r="L193" s="5">
        <v>0</v>
      </c>
      <c r="M193" s="5">
        <v>19040</v>
      </c>
      <c r="N193" s="6"/>
      <c r="O193" s="6">
        <f t="shared" si="5"/>
        <v>47200</v>
      </c>
      <c r="P193" s="6">
        <f t="shared" si="6"/>
        <v>-47200</v>
      </c>
    </row>
    <row r="194" spans="2:16" x14ac:dyDescent="0.35">
      <c r="B194" t="s">
        <v>22</v>
      </c>
      <c r="C194" t="s">
        <v>14</v>
      </c>
      <c r="D194">
        <v>81122101</v>
      </c>
      <c r="E194">
        <v>52111101</v>
      </c>
      <c r="G194" s="5">
        <v>0</v>
      </c>
      <c r="H194" s="5">
        <v>0</v>
      </c>
      <c r="I194" s="5">
        <v>0</v>
      </c>
      <c r="J194" s="5">
        <v>17236.61</v>
      </c>
      <c r="K194" s="5">
        <v>17236.62</v>
      </c>
      <c r="L194" s="5">
        <v>11491.08</v>
      </c>
      <c r="M194" s="5">
        <v>11810.27</v>
      </c>
      <c r="N194" s="6"/>
      <c r="O194" s="6">
        <f t="shared" si="5"/>
        <v>57774.58</v>
      </c>
      <c r="P194" s="6">
        <f t="shared" si="6"/>
        <v>-57774.58</v>
      </c>
    </row>
    <row r="195" spans="2:16" x14ac:dyDescent="0.35">
      <c r="B195" t="s">
        <v>22</v>
      </c>
      <c r="C195" t="s">
        <v>113</v>
      </c>
      <c r="D195">
        <v>81122101</v>
      </c>
      <c r="E195">
        <v>52111101</v>
      </c>
      <c r="G195" s="5">
        <v>0</v>
      </c>
      <c r="H195" s="5">
        <v>0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6"/>
      <c r="O195" s="6">
        <f t="shared" si="5"/>
        <v>0</v>
      </c>
      <c r="P195" s="6">
        <f t="shared" si="6"/>
        <v>0</v>
      </c>
    </row>
    <row r="196" spans="2:16" x14ac:dyDescent="0.35">
      <c r="B196" t="s">
        <v>22</v>
      </c>
      <c r="C196" t="s">
        <v>113</v>
      </c>
      <c r="D196" s="2">
        <v>90122101</v>
      </c>
      <c r="E196" s="2">
        <v>52121402</v>
      </c>
      <c r="F196" s="2"/>
      <c r="G196" s="5">
        <v>0</v>
      </c>
      <c r="H196" s="5">
        <v>0</v>
      </c>
      <c r="I196" s="5">
        <v>-1214.29</v>
      </c>
      <c r="J196" s="5">
        <v>0</v>
      </c>
      <c r="K196" s="5">
        <v>0</v>
      </c>
      <c r="L196" s="5">
        <v>0</v>
      </c>
      <c r="M196" s="5">
        <v>0</v>
      </c>
      <c r="N196" s="6"/>
      <c r="O196" s="6">
        <f t="shared" ref="O196:O259" si="7">SUM(G196:N196)</f>
        <v>-1214.29</v>
      </c>
      <c r="P196" s="6">
        <f t="shared" ref="P196:P259" si="8">F196-O196</f>
        <v>1214.29</v>
      </c>
    </row>
    <row r="197" spans="2:16" x14ac:dyDescent="0.35">
      <c r="B197" t="s">
        <v>22</v>
      </c>
      <c r="C197" t="s">
        <v>113</v>
      </c>
      <c r="D197" s="2">
        <v>90111101</v>
      </c>
      <c r="E197" s="2">
        <v>61021403</v>
      </c>
      <c r="F197" s="2"/>
      <c r="G197" s="5">
        <v>0</v>
      </c>
      <c r="H197" s="5">
        <v>0</v>
      </c>
      <c r="I197" s="5">
        <v>-10500</v>
      </c>
      <c r="J197" s="5">
        <v>0</v>
      </c>
      <c r="K197" s="5">
        <v>0</v>
      </c>
      <c r="L197" s="5">
        <v>0</v>
      </c>
      <c r="M197" s="5">
        <v>0</v>
      </c>
      <c r="N197" s="6"/>
      <c r="O197" s="6">
        <f t="shared" si="7"/>
        <v>-10500</v>
      </c>
      <c r="P197" s="6">
        <f t="shared" si="8"/>
        <v>10500</v>
      </c>
    </row>
    <row r="198" spans="2:16" x14ac:dyDescent="0.35">
      <c r="B198" t="s">
        <v>7</v>
      </c>
      <c r="C198" t="s">
        <v>6</v>
      </c>
      <c r="D198" s="2">
        <v>90111101</v>
      </c>
      <c r="E198" s="2">
        <v>61021403</v>
      </c>
      <c r="F198" s="2"/>
      <c r="G198" s="5"/>
      <c r="H198" s="5"/>
      <c r="I198" s="5"/>
      <c r="J198" s="5"/>
      <c r="K198" s="5">
        <v>-47949.210000000006</v>
      </c>
      <c r="L198" s="5">
        <v>0</v>
      </c>
      <c r="M198" s="5">
        <v>0</v>
      </c>
      <c r="N198" s="6"/>
      <c r="O198" s="6">
        <f t="shared" si="7"/>
        <v>-47949.210000000006</v>
      </c>
      <c r="P198" s="6">
        <f t="shared" si="8"/>
        <v>47949.210000000006</v>
      </c>
    </row>
    <row r="199" spans="2:16" x14ac:dyDescent="0.35">
      <c r="B199" t="s">
        <v>103</v>
      </c>
      <c r="C199" t="s">
        <v>114</v>
      </c>
      <c r="D199">
        <v>81122101</v>
      </c>
      <c r="E199">
        <v>52121401</v>
      </c>
      <c r="G199" s="5"/>
      <c r="H199" s="5"/>
      <c r="I199" s="5">
        <v>37990.519999999997</v>
      </c>
      <c r="J199" s="5">
        <v>0</v>
      </c>
      <c r="K199" s="5">
        <v>0</v>
      </c>
      <c r="L199" s="5">
        <v>0</v>
      </c>
      <c r="M199" s="5">
        <v>0</v>
      </c>
      <c r="N199" s="6"/>
      <c r="O199" s="6">
        <f t="shared" si="7"/>
        <v>37990.519999999997</v>
      </c>
      <c r="P199" s="6">
        <f t="shared" si="8"/>
        <v>-37990.519999999997</v>
      </c>
    </row>
    <row r="200" spans="2:16" x14ac:dyDescent="0.35">
      <c r="B200" t="s">
        <v>22</v>
      </c>
      <c r="C200" t="s">
        <v>115</v>
      </c>
      <c r="D200">
        <v>81122101</v>
      </c>
      <c r="E200">
        <v>52111101</v>
      </c>
      <c r="G200" s="5">
        <v>0</v>
      </c>
      <c r="H200" s="5">
        <v>0</v>
      </c>
      <c r="I200" s="5">
        <v>0</v>
      </c>
      <c r="J200" s="5">
        <v>7741.07</v>
      </c>
      <c r="K200" s="5">
        <v>0</v>
      </c>
      <c r="L200" s="5">
        <v>0</v>
      </c>
      <c r="M200" s="5">
        <v>30964.29</v>
      </c>
      <c r="N200" s="6"/>
      <c r="O200" s="6">
        <f t="shared" si="7"/>
        <v>38705.360000000001</v>
      </c>
      <c r="P200" s="6">
        <f t="shared" si="8"/>
        <v>-38705.360000000001</v>
      </c>
    </row>
    <row r="201" spans="2:16" x14ac:dyDescent="0.35">
      <c r="B201" t="s">
        <v>7</v>
      </c>
      <c r="C201" t="s">
        <v>6</v>
      </c>
      <c r="D201">
        <v>81122101</v>
      </c>
      <c r="E201">
        <v>52111101</v>
      </c>
      <c r="G201" s="5">
        <v>0</v>
      </c>
      <c r="H201" s="5">
        <v>0</v>
      </c>
      <c r="I201" s="5">
        <v>0</v>
      </c>
      <c r="J201" s="5">
        <v>0</v>
      </c>
      <c r="K201" s="5">
        <v>120</v>
      </c>
      <c r="L201" s="5">
        <v>0</v>
      </c>
      <c r="M201" s="5">
        <v>0</v>
      </c>
      <c r="N201" s="6"/>
      <c r="O201" s="6">
        <f t="shared" si="7"/>
        <v>120</v>
      </c>
      <c r="P201" s="6">
        <f t="shared" si="8"/>
        <v>-120</v>
      </c>
    </row>
    <row r="202" spans="2:16" x14ac:dyDescent="0.35">
      <c r="B202" t="s">
        <v>106</v>
      </c>
      <c r="C202" t="s">
        <v>116</v>
      </c>
      <c r="D202">
        <v>90122101</v>
      </c>
      <c r="E202">
        <v>52121402</v>
      </c>
      <c r="G202" s="5">
        <v>0</v>
      </c>
      <c r="H202" s="5">
        <v>0</v>
      </c>
      <c r="I202" s="5">
        <v>0</v>
      </c>
      <c r="J202" s="5">
        <v>6616.09</v>
      </c>
      <c r="K202" s="5">
        <v>0</v>
      </c>
      <c r="L202" s="5">
        <v>126542.68</v>
      </c>
      <c r="M202" s="5">
        <v>0</v>
      </c>
      <c r="N202" s="6"/>
      <c r="O202" s="6">
        <f t="shared" si="7"/>
        <v>133158.76999999999</v>
      </c>
      <c r="P202" s="6">
        <f t="shared" si="8"/>
        <v>-133158.76999999999</v>
      </c>
    </row>
    <row r="203" spans="2:16" x14ac:dyDescent="0.35">
      <c r="B203" t="s">
        <v>106</v>
      </c>
      <c r="C203" t="s">
        <v>116</v>
      </c>
      <c r="D203">
        <v>80122101</v>
      </c>
      <c r="E203">
        <v>61021403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42180.89</v>
      </c>
      <c r="M203" s="5">
        <v>0</v>
      </c>
      <c r="N203" s="6"/>
      <c r="O203" s="6">
        <f t="shared" si="7"/>
        <v>42180.89</v>
      </c>
      <c r="P203" s="6">
        <f t="shared" si="8"/>
        <v>-42180.89</v>
      </c>
    </row>
    <row r="204" spans="2:16" x14ac:dyDescent="0.35">
      <c r="B204" t="s">
        <v>7</v>
      </c>
      <c r="C204" t="s">
        <v>6</v>
      </c>
      <c r="D204">
        <v>90122101</v>
      </c>
      <c r="E204">
        <v>52121402</v>
      </c>
      <c r="G204" s="5">
        <v>0</v>
      </c>
      <c r="H204" s="5">
        <v>0</v>
      </c>
      <c r="I204" s="5">
        <v>0</v>
      </c>
      <c r="J204" s="5">
        <v>-5812.3000000000011</v>
      </c>
      <c r="K204" s="5">
        <v>0</v>
      </c>
      <c r="L204" s="5">
        <v>0</v>
      </c>
      <c r="M204" s="5">
        <v>0</v>
      </c>
      <c r="N204" s="6"/>
      <c r="O204" s="6">
        <f t="shared" si="7"/>
        <v>-5812.3000000000011</v>
      </c>
      <c r="P204" s="6">
        <f t="shared" si="8"/>
        <v>5812.3000000000011</v>
      </c>
    </row>
    <row r="205" spans="2:16" x14ac:dyDescent="0.35">
      <c r="B205" t="s">
        <v>7</v>
      </c>
      <c r="C205" s="2" t="s">
        <v>6</v>
      </c>
      <c r="D205" s="2">
        <v>90311101</v>
      </c>
      <c r="E205" s="2">
        <v>52121402</v>
      </c>
      <c r="F205" s="2"/>
      <c r="G205" s="5">
        <v>0</v>
      </c>
      <c r="H205" s="5">
        <v>0</v>
      </c>
      <c r="I205" s="5">
        <v>0</v>
      </c>
      <c r="J205" s="5">
        <v>-874</v>
      </c>
      <c r="K205" s="6"/>
      <c r="L205" s="5">
        <v>0</v>
      </c>
      <c r="M205" s="5">
        <v>0</v>
      </c>
      <c r="N205" s="6"/>
      <c r="O205" s="6">
        <f t="shared" si="7"/>
        <v>-874</v>
      </c>
      <c r="P205" s="6">
        <f t="shared" si="8"/>
        <v>874</v>
      </c>
    </row>
    <row r="206" spans="2:16" x14ac:dyDescent="0.35">
      <c r="B206" t="s">
        <v>117</v>
      </c>
      <c r="C206" s="2" t="s">
        <v>118</v>
      </c>
      <c r="D206">
        <v>90122101</v>
      </c>
      <c r="E206">
        <v>52121502</v>
      </c>
      <c r="G206" s="5">
        <v>39232</v>
      </c>
      <c r="H206" s="5">
        <v>11500</v>
      </c>
      <c r="I206" s="5">
        <v>0</v>
      </c>
      <c r="J206" s="5">
        <v>0</v>
      </c>
      <c r="K206" s="5">
        <v>0</v>
      </c>
      <c r="L206" s="5">
        <v>15000</v>
      </c>
      <c r="M206" s="5">
        <v>0</v>
      </c>
      <c r="N206" s="6"/>
      <c r="O206" s="6">
        <f t="shared" si="7"/>
        <v>65732</v>
      </c>
      <c r="P206" s="6">
        <f t="shared" si="8"/>
        <v>-65732</v>
      </c>
    </row>
    <row r="207" spans="2:16" x14ac:dyDescent="0.35">
      <c r="B207" t="s">
        <v>117</v>
      </c>
      <c r="C207" s="2" t="s">
        <v>118</v>
      </c>
      <c r="D207">
        <v>81122101</v>
      </c>
      <c r="E207">
        <v>52121502</v>
      </c>
      <c r="G207" s="5">
        <v>0</v>
      </c>
      <c r="H207" s="5">
        <v>0</v>
      </c>
      <c r="I207" s="5">
        <v>8000</v>
      </c>
      <c r="J207" s="5">
        <v>0</v>
      </c>
      <c r="K207" s="5">
        <v>0</v>
      </c>
      <c r="L207" s="5">
        <v>0</v>
      </c>
      <c r="M207" s="5">
        <v>0</v>
      </c>
      <c r="N207" s="6"/>
      <c r="O207" s="6">
        <f t="shared" si="7"/>
        <v>8000</v>
      </c>
      <c r="P207" s="6">
        <f t="shared" si="8"/>
        <v>-8000</v>
      </c>
    </row>
    <row r="208" spans="2:16" x14ac:dyDescent="0.35">
      <c r="B208" t="s">
        <v>119</v>
      </c>
      <c r="C208" t="s">
        <v>120</v>
      </c>
      <c r="D208">
        <v>80111101</v>
      </c>
      <c r="E208">
        <v>61021314</v>
      </c>
      <c r="G208" s="5">
        <v>0</v>
      </c>
      <c r="H208" s="5">
        <v>0</v>
      </c>
      <c r="I208" s="5">
        <v>0</v>
      </c>
      <c r="J208" s="5">
        <v>0</v>
      </c>
      <c r="K208" s="5">
        <v>51868.89</v>
      </c>
      <c r="L208" s="5">
        <v>0</v>
      </c>
      <c r="M208" s="5">
        <v>0</v>
      </c>
      <c r="N208" s="6"/>
      <c r="O208" s="6">
        <f t="shared" si="7"/>
        <v>51868.89</v>
      </c>
      <c r="P208" s="6">
        <f t="shared" si="8"/>
        <v>-51868.89</v>
      </c>
    </row>
    <row r="209" spans="2:16" x14ac:dyDescent="0.35">
      <c r="B209" t="s">
        <v>119</v>
      </c>
      <c r="C209" t="s">
        <v>120</v>
      </c>
      <c r="D209">
        <v>90111101</v>
      </c>
      <c r="E209">
        <v>52121313</v>
      </c>
      <c r="G209" s="5">
        <v>0</v>
      </c>
      <c r="H209" s="5">
        <v>0</v>
      </c>
      <c r="I209" s="5">
        <v>1051640.8500000001</v>
      </c>
      <c r="J209" s="5">
        <v>136398</v>
      </c>
      <c r="K209" s="5">
        <v>0.47999999998137355</v>
      </c>
      <c r="L209" s="5">
        <v>1051640.8500000001</v>
      </c>
      <c r="M209" s="5">
        <v>0</v>
      </c>
      <c r="N209" s="6"/>
      <c r="O209" s="6">
        <f t="shared" si="7"/>
        <v>2239680.1800000002</v>
      </c>
      <c r="P209" s="6">
        <f t="shared" si="8"/>
        <v>-2239680.1800000002</v>
      </c>
    </row>
    <row r="210" spans="2:16" x14ac:dyDescent="0.35">
      <c r="B210" t="s">
        <v>119</v>
      </c>
      <c r="C210" t="s">
        <v>120</v>
      </c>
      <c r="D210">
        <v>81111101</v>
      </c>
      <c r="E210">
        <v>52121313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97568.11</v>
      </c>
      <c r="M210" s="5">
        <v>0</v>
      </c>
      <c r="N210" s="6"/>
      <c r="O210" s="6">
        <f t="shared" si="7"/>
        <v>97568.11</v>
      </c>
      <c r="P210" s="6">
        <f t="shared" si="8"/>
        <v>-97568.11</v>
      </c>
    </row>
    <row r="211" spans="2:16" x14ac:dyDescent="0.35">
      <c r="B211" t="s">
        <v>40</v>
      </c>
      <c r="C211" t="s">
        <v>40</v>
      </c>
      <c r="D211">
        <v>81123102</v>
      </c>
      <c r="E211">
        <v>52041405</v>
      </c>
      <c r="G211" s="5">
        <v>0</v>
      </c>
      <c r="H211" s="5">
        <v>0</v>
      </c>
      <c r="I211" s="6"/>
      <c r="J211" s="5">
        <v>0</v>
      </c>
      <c r="K211" s="6"/>
      <c r="L211" s="5">
        <v>0</v>
      </c>
      <c r="M211" s="5">
        <v>0</v>
      </c>
      <c r="N211" s="6"/>
      <c r="O211" s="6">
        <f t="shared" si="7"/>
        <v>0</v>
      </c>
      <c r="P211" s="6">
        <f t="shared" si="8"/>
        <v>0</v>
      </c>
    </row>
    <row r="212" spans="2:16" x14ac:dyDescent="0.35">
      <c r="B212" t="s">
        <v>40</v>
      </c>
      <c r="C212" t="s">
        <v>40</v>
      </c>
      <c r="D212">
        <v>81123102</v>
      </c>
      <c r="E212">
        <v>52041405</v>
      </c>
      <c r="G212" s="5">
        <v>0</v>
      </c>
      <c r="H212" s="5">
        <v>0</v>
      </c>
      <c r="I212" s="6"/>
      <c r="J212" s="5">
        <v>0</v>
      </c>
      <c r="K212" s="6"/>
      <c r="L212" s="5">
        <v>0</v>
      </c>
      <c r="M212" s="5">
        <v>0</v>
      </c>
      <c r="N212" s="6"/>
      <c r="O212" s="6">
        <f t="shared" si="7"/>
        <v>0</v>
      </c>
      <c r="P212" s="6">
        <f t="shared" si="8"/>
        <v>0</v>
      </c>
    </row>
    <row r="213" spans="2:16" x14ac:dyDescent="0.35">
      <c r="B213" t="s">
        <v>93</v>
      </c>
      <c r="C213" s="2" t="s">
        <v>121</v>
      </c>
      <c r="D213">
        <v>90122101</v>
      </c>
      <c r="E213">
        <v>52071104</v>
      </c>
      <c r="G213" s="5">
        <v>0</v>
      </c>
      <c r="H213" s="5">
        <v>12000</v>
      </c>
      <c r="I213" s="5">
        <v>12000</v>
      </c>
      <c r="J213" s="5">
        <v>16600</v>
      </c>
      <c r="K213" s="5">
        <v>16400</v>
      </c>
      <c r="L213" s="5">
        <v>12000</v>
      </c>
      <c r="M213" s="5">
        <v>12000</v>
      </c>
      <c r="N213" s="6"/>
      <c r="O213" s="6">
        <f t="shared" si="7"/>
        <v>81000</v>
      </c>
      <c r="P213" s="6">
        <f t="shared" si="8"/>
        <v>-81000</v>
      </c>
    </row>
    <row r="214" spans="2:16" x14ac:dyDescent="0.35">
      <c r="B214" t="s">
        <v>93</v>
      </c>
      <c r="C214" s="2" t="s">
        <v>121</v>
      </c>
      <c r="D214" s="2">
        <v>90122101</v>
      </c>
      <c r="E214" s="2">
        <v>52071104</v>
      </c>
      <c r="F214" s="2"/>
      <c r="G214" s="5"/>
      <c r="H214" s="5">
        <v>315846.84999999998</v>
      </c>
      <c r="I214" s="5">
        <v>0</v>
      </c>
      <c r="J214" s="5">
        <v>0</v>
      </c>
      <c r="K214" s="6"/>
      <c r="L214" s="5">
        <v>0</v>
      </c>
      <c r="M214" s="5">
        <v>0</v>
      </c>
      <c r="N214" s="6"/>
      <c r="O214" s="6">
        <f t="shared" si="7"/>
        <v>315846.84999999998</v>
      </c>
      <c r="P214" s="6">
        <f t="shared" si="8"/>
        <v>-315846.84999999998</v>
      </c>
    </row>
    <row r="215" spans="2:16" x14ac:dyDescent="0.35">
      <c r="B215" t="s">
        <v>122</v>
      </c>
      <c r="C215" s="2" t="s">
        <v>123</v>
      </c>
      <c r="D215">
        <v>81122101</v>
      </c>
      <c r="E215">
        <v>52071104</v>
      </c>
      <c r="G215" s="5">
        <v>514038.93</v>
      </c>
      <c r="H215" s="5">
        <v>521069.46</v>
      </c>
      <c r="I215" s="5">
        <v>523038.93</v>
      </c>
      <c r="J215" s="5">
        <v>513008.39</v>
      </c>
      <c r="K215" s="5">
        <v>685588.54999999993</v>
      </c>
      <c r="L215" s="5">
        <v>657347.32000000007</v>
      </c>
      <c r="M215" s="5">
        <v>1121347.3299999998</v>
      </c>
      <c r="N215" s="6"/>
      <c r="O215" s="6">
        <f t="shared" si="7"/>
        <v>4535438.91</v>
      </c>
      <c r="P215" s="6">
        <f t="shared" si="8"/>
        <v>-4535438.91</v>
      </c>
    </row>
    <row r="216" spans="2:16" x14ac:dyDescent="0.35">
      <c r="B216" t="s">
        <v>122</v>
      </c>
      <c r="C216" s="2" t="s">
        <v>123</v>
      </c>
      <c r="D216">
        <v>90122101</v>
      </c>
      <c r="E216">
        <v>52071104</v>
      </c>
      <c r="G216" s="5">
        <v>2599422.79</v>
      </c>
      <c r="H216" s="5">
        <v>2599422.79</v>
      </c>
      <c r="I216" s="5">
        <v>2969716.91</v>
      </c>
      <c r="J216" s="5">
        <v>2599422.79</v>
      </c>
      <c r="K216" s="5">
        <v>2011187.5</v>
      </c>
      <c r="L216" s="5">
        <v>2011187.5</v>
      </c>
      <c r="M216" s="5">
        <v>2011187.5</v>
      </c>
      <c r="N216" s="6"/>
      <c r="O216" s="6">
        <f t="shared" si="7"/>
        <v>16801547.780000001</v>
      </c>
      <c r="P216" s="6">
        <f t="shared" si="8"/>
        <v>-16801547.780000001</v>
      </c>
    </row>
    <row r="217" spans="2:16" x14ac:dyDescent="0.35">
      <c r="B217" t="s">
        <v>124</v>
      </c>
      <c r="C217" s="2" t="s">
        <v>125</v>
      </c>
      <c r="D217">
        <v>81122101</v>
      </c>
      <c r="E217">
        <v>52952101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530</v>
      </c>
      <c r="N217" s="6"/>
      <c r="O217" s="6">
        <f t="shared" si="7"/>
        <v>530</v>
      </c>
      <c r="P217" s="6">
        <f t="shared" si="8"/>
        <v>-530</v>
      </c>
    </row>
    <row r="218" spans="2:16" x14ac:dyDescent="0.35">
      <c r="B218" t="s">
        <v>124</v>
      </c>
      <c r="C218" s="2" t="s">
        <v>126</v>
      </c>
      <c r="D218">
        <v>90122101</v>
      </c>
      <c r="E218">
        <v>61711101</v>
      </c>
      <c r="G218" s="5">
        <v>0</v>
      </c>
      <c r="H218" s="5">
        <v>0</v>
      </c>
      <c r="I218" s="5">
        <v>0</v>
      </c>
      <c r="J218" s="5">
        <v>0</v>
      </c>
      <c r="K218" s="5">
        <v>450</v>
      </c>
      <c r="L218" s="5">
        <v>2200</v>
      </c>
      <c r="M218" s="5">
        <v>0</v>
      </c>
      <c r="N218" s="6"/>
      <c r="O218" s="6">
        <f t="shared" si="7"/>
        <v>2650</v>
      </c>
      <c r="P218" s="6">
        <f t="shared" si="8"/>
        <v>-2650</v>
      </c>
    </row>
    <row r="219" spans="2:16" x14ac:dyDescent="0.35">
      <c r="B219" t="s">
        <v>124</v>
      </c>
      <c r="C219" s="2" t="s">
        <v>126</v>
      </c>
      <c r="D219">
        <v>80122101</v>
      </c>
      <c r="E219">
        <v>61711101</v>
      </c>
      <c r="G219" s="5">
        <v>0</v>
      </c>
      <c r="H219" s="5">
        <v>0</v>
      </c>
      <c r="I219" s="5">
        <v>3628</v>
      </c>
      <c r="J219" s="5">
        <v>0</v>
      </c>
      <c r="K219" s="5">
        <v>0</v>
      </c>
      <c r="L219" s="5">
        <v>530</v>
      </c>
      <c r="M219" s="5">
        <v>1500</v>
      </c>
      <c r="N219" s="6"/>
      <c r="O219" s="6">
        <f t="shared" si="7"/>
        <v>5658</v>
      </c>
      <c r="P219" s="6">
        <f t="shared" si="8"/>
        <v>-5658</v>
      </c>
    </row>
    <row r="220" spans="2:16" x14ac:dyDescent="0.35">
      <c r="B220" t="s">
        <v>124</v>
      </c>
      <c r="C220" s="2" t="s">
        <v>127</v>
      </c>
      <c r="D220">
        <v>90122101</v>
      </c>
      <c r="E220">
        <v>61711101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21589.29</v>
      </c>
      <c r="N220" s="6"/>
      <c r="O220" s="6">
        <f t="shared" si="7"/>
        <v>21589.29</v>
      </c>
      <c r="P220" s="6">
        <f t="shared" si="8"/>
        <v>-21589.29</v>
      </c>
    </row>
    <row r="221" spans="2:16" x14ac:dyDescent="0.35">
      <c r="B221" t="s">
        <v>124</v>
      </c>
      <c r="C221" s="2" t="s">
        <v>128</v>
      </c>
      <c r="D221">
        <v>90123101</v>
      </c>
      <c r="E221">
        <v>61711101</v>
      </c>
      <c r="G221" s="5"/>
      <c r="H221" s="5"/>
      <c r="I221" s="5">
        <v>20000</v>
      </c>
      <c r="J221" s="5">
        <v>0</v>
      </c>
      <c r="K221" s="5">
        <v>0</v>
      </c>
      <c r="L221" s="5">
        <v>0</v>
      </c>
      <c r="M221" s="5">
        <v>0</v>
      </c>
      <c r="N221" s="6"/>
      <c r="O221" s="6">
        <f t="shared" si="7"/>
        <v>20000</v>
      </c>
      <c r="P221" s="6">
        <f t="shared" si="8"/>
        <v>-20000</v>
      </c>
    </row>
    <row r="222" spans="2:16" x14ac:dyDescent="0.35">
      <c r="B222" t="s">
        <v>124</v>
      </c>
      <c r="C222" s="2" t="s">
        <v>129</v>
      </c>
      <c r="D222">
        <v>90122101</v>
      </c>
      <c r="E222">
        <v>61711101</v>
      </c>
      <c r="G222" s="5">
        <v>0</v>
      </c>
      <c r="H222" s="5">
        <v>0</v>
      </c>
      <c r="I222" s="5">
        <v>0</v>
      </c>
      <c r="J222" s="5">
        <v>0</v>
      </c>
      <c r="K222" s="5">
        <v>660</v>
      </c>
      <c r="L222" s="5">
        <v>0</v>
      </c>
      <c r="M222" s="5">
        <v>0</v>
      </c>
      <c r="N222" s="6"/>
      <c r="O222" s="6">
        <f t="shared" si="7"/>
        <v>660</v>
      </c>
      <c r="P222" s="6">
        <f t="shared" si="8"/>
        <v>-660</v>
      </c>
    </row>
    <row r="223" spans="2:16" x14ac:dyDescent="0.35">
      <c r="B223" t="s">
        <v>124</v>
      </c>
      <c r="C223" s="2" t="s">
        <v>130</v>
      </c>
      <c r="D223">
        <v>90122101</v>
      </c>
      <c r="E223">
        <v>61711101</v>
      </c>
      <c r="G223" s="5">
        <v>0</v>
      </c>
      <c r="H223" s="5">
        <v>0</v>
      </c>
      <c r="I223" s="5">
        <v>0</v>
      </c>
      <c r="J223" s="5">
        <v>0</v>
      </c>
      <c r="K223" s="5">
        <v>0</v>
      </c>
      <c r="L223" s="5">
        <v>13000</v>
      </c>
      <c r="M223" s="5">
        <v>0</v>
      </c>
      <c r="N223" s="6"/>
      <c r="O223" s="6">
        <f t="shared" si="7"/>
        <v>13000</v>
      </c>
      <c r="P223" s="6">
        <f t="shared" si="8"/>
        <v>-13000</v>
      </c>
    </row>
    <row r="224" spans="2:16" x14ac:dyDescent="0.35">
      <c r="B224" t="s">
        <v>124</v>
      </c>
      <c r="C224" s="2" t="s">
        <v>131</v>
      </c>
      <c r="D224">
        <v>90122101</v>
      </c>
      <c r="E224">
        <v>61711101</v>
      </c>
      <c r="G224" s="5">
        <v>10000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6"/>
      <c r="O224" s="6">
        <f t="shared" si="7"/>
        <v>10000</v>
      </c>
      <c r="P224" s="6">
        <f t="shared" si="8"/>
        <v>-10000</v>
      </c>
    </row>
    <row r="225" spans="2:16" x14ac:dyDescent="0.35">
      <c r="B225" t="s">
        <v>101</v>
      </c>
      <c r="C225" s="2" t="s">
        <v>132</v>
      </c>
      <c r="D225">
        <v>90111101</v>
      </c>
      <c r="E225">
        <v>52121303</v>
      </c>
      <c r="G225" s="5">
        <v>38124.080000000002</v>
      </c>
      <c r="H225" s="5">
        <v>38124.080000000002</v>
      </c>
      <c r="I225" s="5">
        <v>38124.080000000002</v>
      </c>
      <c r="J225" s="5">
        <v>38124.080000000002</v>
      </c>
      <c r="K225" s="5">
        <v>38124.080000000002</v>
      </c>
      <c r="L225" s="5">
        <v>38124.080000000002</v>
      </c>
      <c r="M225" s="5">
        <v>38124.080000000002</v>
      </c>
      <c r="N225" s="6"/>
      <c r="O225" s="6">
        <f t="shared" si="7"/>
        <v>266868.56000000006</v>
      </c>
      <c r="P225" s="6">
        <f t="shared" si="8"/>
        <v>-266868.56000000006</v>
      </c>
    </row>
    <row r="226" spans="2:16" x14ac:dyDescent="0.35">
      <c r="B226" t="s">
        <v>101</v>
      </c>
      <c r="C226" s="2" t="s">
        <v>133</v>
      </c>
      <c r="D226">
        <v>90111101</v>
      </c>
      <c r="E226">
        <v>52121301</v>
      </c>
      <c r="G226" s="5">
        <v>16817.080000000002</v>
      </c>
      <c r="H226" s="5">
        <v>16817.080000000002</v>
      </c>
      <c r="I226" s="5">
        <v>16817.080000000002</v>
      </c>
      <c r="J226" s="5">
        <v>16817.080000000002</v>
      </c>
      <c r="K226" s="5">
        <v>16817.080000000002</v>
      </c>
      <c r="L226" s="5">
        <v>16817.080000000002</v>
      </c>
      <c r="M226" s="5">
        <v>16817.080000000002</v>
      </c>
      <c r="N226" s="6"/>
      <c r="O226" s="6">
        <f t="shared" si="7"/>
        <v>117719.56000000001</v>
      </c>
      <c r="P226" s="6">
        <f t="shared" si="8"/>
        <v>-117719.56000000001</v>
      </c>
    </row>
    <row r="227" spans="2:16" x14ac:dyDescent="0.35">
      <c r="B227" t="s">
        <v>134</v>
      </c>
      <c r="C227" s="2" t="s">
        <v>135</v>
      </c>
      <c r="D227">
        <v>90134102</v>
      </c>
      <c r="E227">
        <v>52091103</v>
      </c>
      <c r="G227" s="5">
        <v>0</v>
      </c>
      <c r="H227" s="5">
        <v>0</v>
      </c>
      <c r="I227" s="5">
        <v>737857.14</v>
      </c>
      <c r="J227" s="5">
        <v>0</v>
      </c>
      <c r="K227" s="5">
        <v>0</v>
      </c>
      <c r="L227" s="5">
        <v>0</v>
      </c>
      <c r="M227" s="5">
        <v>737857.14</v>
      </c>
      <c r="N227" s="6"/>
      <c r="O227" s="6">
        <f t="shared" si="7"/>
        <v>1475714.28</v>
      </c>
      <c r="P227" s="6">
        <f t="shared" si="8"/>
        <v>-1475714.28</v>
      </c>
    </row>
    <row r="228" spans="2:16" x14ac:dyDescent="0.35">
      <c r="B228" t="s">
        <v>134</v>
      </c>
      <c r="C228" s="2" t="s">
        <v>136</v>
      </c>
      <c r="D228">
        <v>90134102</v>
      </c>
      <c r="E228">
        <v>52071103</v>
      </c>
      <c r="G228" s="5">
        <v>0</v>
      </c>
      <c r="H228" s="5">
        <v>0</v>
      </c>
      <c r="I228" s="5">
        <v>1954464.28</v>
      </c>
      <c r="J228" s="5">
        <v>0</v>
      </c>
      <c r="K228" s="5">
        <v>0</v>
      </c>
      <c r="L228" s="5">
        <v>0</v>
      </c>
      <c r="M228" s="5">
        <v>1954464.28</v>
      </c>
      <c r="N228" s="6"/>
      <c r="O228" s="6">
        <f t="shared" si="7"/>
        <v>3908928.56</v>
      </c>
      <c r="P228" s="6">
        <f t="shared" si="8"/>
        <v>-3908928.56</v>
      </c>
    </row>
    <row r="229" spans="2:16" x14ac:dyDescent="0.35">
      <c r="B229" t="e">
        <v>#N/A</v>
      </c>
      <c r="C229" s="2" t="s">
        <v>137</v>
      </c>
      <c r="D229">
        <v>81134102</v>
      </c>
      <c r="E229">
        <v>52031103</v>
      </c>
      <c r="G229" s="5">
        <v>0</v>
      </c>
      <c r="H229" s="5">
        <v>0</v>
      </c>
      <c r="I229" s="5">
        <v>0</v>
      </c>
      <c r="J229" s="5">
        <v>0</v>
      </c>
      <c r="K229" s="6"/>
      <c r="L229" s="5">
        <v>0</v>
      </c>
      <c r="M229" s="5">
        <v>0</v>
      </c>
      <c r="N229" s="6"/>
      <c r="O229" s="6">
        <f t="shared" si="7"/>
        <v>0</v>
      </c>
      <c r="P229" s="6">
        <f t="shared" si="8"/>
        <v>0</v>
      </c>
    </row>
    <row r="230" spans="2:16" x14ac:dyDescent="0.35">
      <c r="B230" t="s">
        <v>138</v>
      </c>
      <c r="C230" s="2" t="s">
        <v>139</v>
      </c>
      <c r="D230">
        <v>80134102</v>
      </c>
      <c r="E230">
        <v>61711101</v>
      </c>
      <c r="G230" s="5">
        <v>57589.24</v>
      </c>
      <c r="H230" s="5">
        <v>57589.29</v>
      </c>
      <c r="I230" s="5">
        <v>57589.29</v>
      </c>
      <c r="J230" s="5">
        <v>57589.29</v>
      </c>
      <c r="K230" s="5">
        <v>57589.29</v>
      </c>
      <c r="L230" s="5">
        <v>57589.29</v>
      </c>
      <c r="M230" s="5">
        <v>57589.29</v>
      </c>
      <c r="N230" s="6"/>
      <c r="O230" s="6">
        <f t="shared" si="7"/>
        <v>403124.98</v>
      </c>
      <c r="P230" s="6">
        <f t="shared" si="8"/>
        <v>-403124.98</v>
      </c>
    </row>
    <row r="231" spans="2:16" x14ac:dyDescent="0.35">
      <c r="B231" t="s">
        <v>138</v>
      </c>
      <c r="C231" s="2" t="s">
        <v>140</v>
      </c>
      <c r="D231">
        <v>80134102</v>
      </c>
      <c r="E231">
        <v>61711101</v>
      </c>
      <c r="G231" s="5">
        <v>125625</v>
      </c>
      <c r="H231" s="5">
        <v>126375</v>
      </c>
      <c r="I231" s="5">
        <v>125625</v>
      </c>
      <c r="J231" s="5">
        <v>125625</v>
      </c>
      <c r="K231" s="5">
        <v>125625</v>
      </c>
      <c r="L231" s="5">
        <v>125625</v>
      </c>
      <c r="M231" s="5">
        <v>125625</v>
      </c>
      <c r="N231" s="6"/>
      <c r="O231" s="6">
        <f t="shared" si="7"/>
        <v>880125</v>
      </c>
      <c r="P231" s="6">
        <f t="shared" si="8"/>
        <v>-880125</v>
      </c>
    </row>
    <row r="232" spans="2:16" x14ac:dyDescent="0.35">
      <c r="B232" t="s">
        <v>138</v>
      </c>
      <c r="C232" s="2" t="s">
        <v>141</v>
      </c>
      <c r="D232">
        <v>80134102</v>
      </c>
      <c r="E232">
        <v>61711101</v>
      </c>
      <c r="G232" s="5">
        <v>346041.63</v>
      </c>
      <c r="H232" s="5">
        <v>346041.67</v>
      </c>
      <c r="I232" s="5">
        <v>346041.67</v>
      </c>
      <c r="J232" s="5">
        <v>346041.67</v>
      </c>
      <c r="K232" s="5">
        <v>346041.67</v>
      </c>
      <c r="L232" s="5">
        <v>346041.67</v>
      </c>
      <c r="M232" s="5">
        <v>346041.67</v>
      </c>
      <c r="N232" s="6"/>
      <c r="O232" s="6">
        <f t="shared" si="7"/>
        <v>2422291.65</v>
      </c>
      <c r="P232" s="6">
        <f t="shared" si="8"/>
        <v>-2422291.65</v>
      </c>
    </row>
    <row r="233" spans="2:16" x14ac:dyDescent="0.35">
      <c r="B233" t="s">
        <v>124</v>
      </c>
      <c r="C233" s="2" t="s">
        <v>142</v>
      </c>
      <c r="D233">
        <v>81134102</v>
      </c>
      <c r="E233">
        <v>52952101</v>
      </c>
      <c r="G233" s="5">
        <v>0</v>
      </c>
      <c r="H233" s="5">
        <v>1000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6"/>
      <c r="O233" s="6">
        <f t="shared" si="7"/>
        <v>1000</v>
      </c>
      <c r="P233" s="6">
        <f t="shared" si="8"/>
        <v>-1000</v>
      </c>
    </row>
    <row r="234" spans="2:16" x14ac:dyDescent="0.35">
      <c r="B234" t="s">
        <v>124</v>
      </c>
      <c r="C234" s="2" t="s">
        <v>143</v>
      </c>
      <c r="D234">
        <v>90111204</v>
      </c>
      <c r="E234">
        <v>61711101</v>
      </c>
      <c r="G234" s="5">
        <v>20089.29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6"/>
      <c r="O234" s="6">
        <f t="shared" si="7"/>
        <v>20089.29</v>
      </c>
      <c r="P234" s="6">
        <f t="shared" si="8"/>
        <v>-20089.29</v>
      </c>
    </row>
    <row r="235" spans="2:16" x14ac:dyDescent="0.35">
      <c r="B235" t="s">
        <v>144</v>
      </c>
      <c r="C235" t="s">
        <v>145</v>
      </c>
      <c r="D235" s="3">
        <v>80314101</v>
      </c>
      <c r="E235" s="3">
        <v>61731103</v>
      </c>
      <c r="F235" s="3"/>
      <c r="G235" s="5">
        <v>30000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6"/>
      <c r="O235" s="6">
        <f t="shared" si="7"/>
        <v>30000</v>
      </c>
      <c r="P235" s="6">
        <f t="shared" si="8"/>
        <v>-30000</v>
      </c>
    </row>
    <row r="236" spans="2:16" x14ac:dyDescent="0.35">
      <c r="B236" t="s">
        <v>144</v>
      </c>
      <c r="C236" t="s">
        <v>146</v>
      </c>
      <c r="D236" s="3">
        <v>80314101</v>
      </c>
      <c r="E236" s="3">
        <v>61731103</v>
      </c>
      <c r="F236" s="3"/>
      <c r="G236" s="5">
        <v>37500</v>
      </c>
      <c r="H236" s="5">
        <v>0</v>
      </c>
      <c r="I236" s="5">
        <v>0</v>
      </c>
      <c r="J236" s="5">
        <v>0</v>
      </c>
      <c r="K236" s="5">
        <v>37500</v>
      </c>
      <c r="L236" s="5">
        <v>0</v>
      </c>
      <c r="M236" s="5">
        <v>0</v>
      </c>
      <c r="N236" s="6"/>
      <c r="O236" s="6">
        <f t="shared" si="7"/>
        <v>75000</v>
      </c>
      <c r="P236" s="6">
        <f t="shared" si="8"/>
        <v>-75000</v>
      </c>
    </row>
    <row r="237" spans="2:16" x14ac:dyDescent="0.35">
      <c r="B237" t="s">
        <v>144</v>
      </c>
      <c r="C237" t="s">
        <v>147</v>
      </c>
      <c r="D237" s="3">
        <v>80314101</v>
      </c>
      <c r="E237" s="3">
        <v>61731103</v>
      </c>
      <c r="F237" s="3"/>
      <c r="G237" s="5">
        <v>148809.53</v>
      </c>
      <c r="H237" s="5">
        <v>148809.53</v>
      </c>
      <c r="I237" s="5">
        <v>148809.53</v>
      </c>
      <c r="J237" s="5">
        <v>0</v>
      </c>
      <c r="K237" s="5">
        <v>0</v>
      </c>
      <c r="L237" s="5">
        <v>0</v>
      </c>
      <c r="M237" s="5">
        <v>0</v>
      </c>
      <c r="N237" s="6"/>
      <c r="O237" s="6">
        <f t="shared" si="7"/>
        <v>446428.58999999997</v>
      </c>
      <c r="P237" s="6">
        <f t="shared" si="8"/>
        <v>-446428.58999999997</v>
      </c>
    </row>
    <row r="238" spans="2:16" x14ac:dyDescent="0.35">
      <c r="B238" t="s">
        <v>148</v>
      </c>
      <c r="C238" t="s">
        <v>149</v>
      </c>
      <c r="D238" s="3">
        <v>80314101</v>
      </c>
      <c r="E238" s="3">
        <v>61731103</v>
      </c>
      <c r="F238" s="3"/>
      <c r="G238" s="5">
        <v>0</v>
      </c>
      <c r="H238" s="5">
        <v>13767.12</v>
      </c>
      <c r="I238" s="5">
        <v>-13767.13</v>
      </c>
      <c r="J238" s="5">
        <v>10054.290000000001</v>
      </c>
      <c r="K238" s="6"/>
      <c r="L238" s="5">
        <v>0</v>
      </c>
      <c r="M238" s="5">
        <v>0</v>
      </c>
      <c r="N238" s="6"/>
      <c r="O238" s="6">
        <f t="shared" si="7"/>
        <v>10054.280000000002</v>
      </c>
      <c r="P238" s="6">
        <f t="shared" si="8"/>
        <v>-10054.280000000002</v>
      </c>
    </row>
    <row r="239" spans="2:16" x14ac:dyDescent="0.35">
      <c r="B239" t="s">
        <v>150</v>
      </c>
      <c r="C239" t="s">
        <v>151</v>
      </c>
      <c r="D239" s="3">
        <v>80314101</v>
      </c>
      <c r="E239" s="3">
        <v>61731103</v>
      </c>
      <c r="F239" s="3"/>
      <c r="G239" s="5">
        <v>0</v>
      </c>
      <c r="H239" s="5">
        <v>1245.6600000000001</v>
      </c>
      <c r="I239" s="5">
        <v>1245.6600000000001</v>
      </c>
      <c r="J239" s="5">
        <v>1245.6600000000001</v>
      </c>
      <c r="K239" s="5">
        <v>1245.6600000000001</v>
      </c>
      <c r="L239" s="5">
        <v>1384.01</v>
      </c>
      <c r="M239" s="5">
        <v>1384.01</v>
      </c>
      <c r="N239" s="6"/>
      <c r="O239" s="6">
        <f t="shared" si="7"/>
        <v>7750.6600000000008</v>
      </c>
      <c r="P239" s="6">
        <f t="shared" si="8"/>
        <v>-7750.6600000000008</v>
      </c>
    </row>
    <row r="240" spans="2:16" x14ac:dyDescent="0.35">
      <c r="B240" t="s">
        <v>150</v>
      </c>
      <c r="C240" t="s">
        <v>81</v>
      </c>
      <c r="D240" s="3">
        <v>80314101</v>
      </c>
      <c r="E240" s="3">
        <v>61731103</v>
      </c>
      <c r="F240" s="3"/>
      <c r="G240" s="5">
        <v>0</v>
      </c>
      <c r="H240" s="5">
        <v>6969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6"/>
      <c r="O240" s="6">
        <f t="shared" si="7"/>
        <v>6969</v>
      </c>
      <c r="P240" s="6">
        <f t="shared" si="8"/>
        <v>-6969</v>
      </c>
    </row>
    <row r="241" spans="2:16" x14ac:dyDescent="0.35">
      <c r="B241" t="s">
        <v>148</v>
      </c>
      <c r="C241" t="s">
        <v>152</v>
      </c>
      <c r="D241" s="3">
        <v>80314101</v>
      </c>
      <c r="E241" s="3">
        <v>61731103</v>
      </c>
      <c r="F241" s="3"/>
      <c r="G241" s="5">
        <v>0</v>
      </c>
      <c r="H241" s="5">
        <v>375000</v>
      </c>
      <c r="I241" s="5">
        <v>-375000</v>
      </c>
      <c r="J241" s="5">
        <v>0</v>
      </c>
      <c r="K241" s="5">
        <v>0</v>
      </c>
      <c r="L241" s="5">
        <v>0</v>
      </c>
      <c r="M241" s="5">
        <v>0</v>
      </c>
      <c r="N241" s="6"/>
      <c r="O241" s="6">
        <f t="shared" si="7"/>
        <v>0</v>
      </c>
      <c r="P241" s="6">
        <f t="shared" si="8"/>
        <v>0</v>
      </c>
    </row>
    <row r="242" spans="2:16" x14ac:dyDescent="0.35">
      <c r="B242" t="s">
        <v>150</v>
      </c>
      <c r="C242" t="s">
        <v>153</v>
      </c>
      <c r="D242" s="3">
        <v>80314101</v>
      </c>
      <c r="E242" s="3">
        <v>61731103</v>
      </c>
      <c r="F242" s="3"/>
      <c r="G242" s="5">
        <v>0</v>
      </c>
      <c r="H242" s="5">
        <v>0</v>
      </c>
      <c r="I242" s="5">
        <v>0</v>
      </c>
      <c r="J242" s="5">
        <v>1733.16</v>
      </c>
      <c r="K242" s="6"/>
      <c r="L242" s="5">
        <v>0</v>
      </c>
      <c r="M242" s="5">
        <v>0</v>
      </c>
      <c r="N242" s="6"/>
      <c r="O242" s="6">
        <f t="shared" si="7"/>
        <v>1733.16</v>
      </c>
      <c r="P242" s="6">
        <f t="shared" si="8"/>
        <v>-1733.16</v>
      </c>
    </row>
    <row r="243" spans="2:16" x14ac:dyDescent="0.35">
      <c r="B243" s="2" t="s">
        <v>150</v>
      </c>
      <c r="C243" s="2" t="s">
        <v>154</v>
      </c>
      <c r="D243" s="2">
        <v>80314101</v>
      </c>
      <c r="E243" s="2">
        <v>61731103</v>
      </c>
      <c r="F243" s="2"/>
      <c r="G243" s="5"/>
      <c r="H243" s="5"/>
      <c r="I243" s="5"/>
      <c r="J243" s="5"/>
      <c r="K243" s="6"/>
      <c r="L243" s="5">
        <v>2171.5</v>
      </c>
      <c r="M243" s="5">
        <v>0</v>
      </c>
      <c r="N243" s="6"/>
      <c r="O243" s="6">
        <f t="shared" si="7"/>
        <v>2171.5</v>
      </c>
      <c r="P243" s="6">
        <f t="shared" si="8"/>
        <v>-2171.5</v>
      </c>
    </row>
    <row r="244" spans="2:16" x14ac:dyDescent="0.35">
      <c r="B244" t="s">
        <v>148</v>
      </c>
      <c r="C244" t="s">
        <v>155</v>
      </c>
      <c r="D244" s="2">
        <v>80314101</v>
      </c>
      <c r="E244" s="2">
        <v>52551201</v>
      </c>
      <c r="F244" s="2"/>
      <c r="G244" s="5">
        <v>0</v>
      </c>
      <c r="H244" s="5">
        <v>0</v>
      </c>
      <c r="I244" s="5">
        <v>105000</v>
      </c>
      <c r="J244" s="5">
        <v>-105000</v>
      </c>
      <c r="K244" s="6"/>
      <c r="L244" s="5">
        <v>0</v>
      </c>
      <c r="M244" s="5">
        <v>0</v>
      </c>
      <c r="N244" s="6"/>
      <c r="O244" s="6">
        <f t="shared" si="7"/>
        <v>0</v>
      </c>
      <c r="P244" s="6">
        <f t="shared" si="8"/>
        <v>0</v>
      </c>
    </row>
    <row r="245" spans="2:16" x14ac:dyDescent="0.35">
      <c r="B245" t="s">
        <v>156</v>
      </c>
      <c r="C245" s="2" t="s">
        <v>156</v>
      </c>
      <c r="D245">
        <v>80125101</v>
      </c>
      <c r="E245">
        <v>61091101</v>
      </c>
      <c r="G245" s="5">
        <v>0</v>
      </c>
      <c r="H245" s="5">
        <v>0</v>
      </c>
      <c r="I245" s="5">
        <v>0</v>
      </c>
      <c r="J245" s="5">
        <v>14687.68</v>
      </c>
      <c r="K245" s="5">
        <v>3906</v>
      </c>
      <c r="L245" s="5">
        <v>0</v>
      </c>
      <c r="M245" s="5">
        <v>0</v>
      </c>
      <c r="N245" s="6"/>
      <c r="O245" s="6">
        <f t="shared" si="7"/>
        <v>18593.68</v>
      </c>
      <c r="P245" s="6">
        <f t="shared" si="8"/>
        <v>-18593.68</v>
      </c>
    </row>
    <row r="246" spans="2:16" x14ac:dyDescent="0.35">
      <c r="B246" t="s">
        <v>157</v>
      </c>
      <c r="C246" s="2" t="s">
        <v>157</v>
      </c>
      <c r="D246">
        <v>80123101</v>
      </c>
      <c r="E246">
        <v>61071099</v>
      </c>
      <c r="G246" s="5">
        <v>0</v>
      </c>
      <c r="H246" s="5">
        <v>5550</v>
      </c>
      <c r="I246" s="5">
        <v>2850</v>
      </c>
      <c r="J246" s="5">
        <v>0</v>
      </c>
      <c r="K246" s="5">
        <v>0</v>
      </c>
      <c r="L246" s="5">
        <v>0</v>
      </c>
      <c r="M246" s="5">
        <v>0</v>
      </c>
      <c r="N246" s="6"/>
      <c r="O246" s="6">
        <f t="shared" si="7"/>
        <v>8400</v>
      </c>
      <c r="P246" s="6">
        <f t="shared" si="8"/>
        <v>-8400</v>
      </c>
    </row>
    <row r="247" spans="2:16" x14ac:dyDescent="0.35">
      <c r="B247" t="s">
        <v>124</v>
      </c>
      <c r="C247" s="2" t="s">
        <v>158</v>
      </c>
      <c r="D247">
        <v>80123101</v>
      </c>
      <c r="E247">
        <v>61711101</v>
      </c>
      <c r="G247" s="5">
        <v>32</v>
      </c>
      <c r="H247" s="5">
        <v>9000</v>
      </c>
      <c r="I247" s="5">
        <v>4564</v>
      </c>
      <c r="J247" s="5">
        <v>4629.71</v>
      </c>
      <c r="K247" s="5">
        <v>8485.92</v>
      </c>
      <c r="L247" s="5">
        <v>4693.09</v>
      </c>
      <c r="M247" s="5">
        <v>4500</v>
      </c>
      <c r="N247" s="6"/>
      <c r="O247" s="6">
        <f t="shared" si="7"/>
        <v>35904.720000000001</v>
      </c>
      <c r="P247" s="6">
        <f t="shared" si="8"/>
        <v>-35904.720000000001</v>
      </c>
    </row>
    <row r="248" spans="2:16" x14ac:dyDescent="0.35">
      <c r="B248" t="s">
        <v>124</v>
      </c>
      <c r="C248" s="2" t="s">
        <v>159</v>
      </c>
      <c r="D248">
        <v>90123101</v>
      </c>
      <c r="E248">
        <v>61711101</v>
      </c>
      <c r="G248" s="5">
        <v>19000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6"/>
      <c r="O248" s="6">
        <f t="shared" si="7"/>
        <v>19000</v>
      </c>
      <c r="P248" s="6">
        <f t="shared" si="8"/>
        <v>-19000</v>
      </c>
    </row>
    <row r="249" spans="2:16" x14ac:dyDescent="0.35">
      <c r="B249" t="s">
        <v>124</v>
      </c>
      <c r="C249" s="2" t="s">
        <v>142</v>
      </c>
      <c r="D249">
        <v>90123101</v>
      </c>
      <c r="E249">
        <v>61711101</v>
      </c>
      <c r="G249" s="5">
        <v>0</v>
      </c>
      <c r="H249" s="5">
        <v>0</v>
      </c>
      <c r="I249" s="6"/>
      <c r="J249" s="5">
        <v>0</v>
      </c>
      <c r="K249" s="5">
        <v>0</v>
      </c>
      <c r="L249" s="5">
        <v>400</v>
      </c>
      <c r="M249" s="5">
        <v>0</v>
      </c>
      <c r="N249" s="6"/>
      <c r="O249" s="6">
        <f t="shared" si="7"/>
        <v>400</v>
      </c>
      <c r="P249" s="6">
        <f t="shared" si="8"/>
        <v>-400</v>
      </c>
    </row>
    <row r="250" spans="2:16" x14ac:dyDescent="0.35">
      <c r="B250" t="s">
        <v>124</v>
      </c>
      <c r="C250" s="2" t="s">
        <v>160</v>
      </c>
      <c r="D250">
        <v>90122101</v>
      </c>
      <c r="E250">
        <v>61711101</v>
      </c>
      <c r="G250" s="5">
        <v>50000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6"/>
      <c r="O250" s="6">
        <f t="shared" si="7"/>
        <v>50000</v>
      </c>
      <c r="P250" s="6">
        <f t="shared" si="8"/>
        <v>-50000</v>
      </c>
    </row>
    <row r="251" spans="2:16" x14ac:dyDescent="0.35">
      <c r="B251" t="s">
        <v>161</v>
      </c>
      <c r="C251" s="2" t="s">
        <v>162</v>
      </c>
      <c r="D251">
        <v>80123101</v>
      </c>
      <c r="E251">
        <v>61071002</v>
      </c>
      <c r="G251" s="5">
        <v>3018048</v>
      </c>
      <c r="H251" s="5">
        <v>-1500</v>
      </c>
      <c r="I251" s="5">
        <v>68343.600000000093</v>
      </c>
      <c r="J251" s="5">
        <v>10898.610000000002</v>
      </c>
      <c r="K251" s="5">
        <v>6352</v>
      </c>
      <c r="L251" s="5">
        <v>307054.8</v>
      </c>
      <c r="M251" s="5">
        <v>14868.75</v>
      </c>
      <c r="N251" s="6"/>
      <c r="O251" s="6">
        <f t="shared" si="7"/>
        <v>3424065.76</v>
      </c>
      <c r="P251" s="6">
        <f t="shared" si="8"/>
        <v>-3424065.76</v>
      </c>
    </row>
    <row r="252" spans="2:16" x14ac:dyDescent="0.35">
      <c r="B252" t="s">
        <v>161</v>
      </c>
      <c r="C252" s="2" t="s">
        <v>162</v>
      </c>
      <c r="D252">
        <v>90123101</v>
      </c>
      <c r="E252">
        <v>61071002</v>
      </c>
      <c r="G252" s="5">
        <v>265000</v>
      </c>
      <c r="H252" s="5">
        <v>107550</v>
      </c>
      <c r="I252" s="5">
        <v>0</v>
      </c>
      <c r="J252" s="5">
        <v>0</v>
      </c>
      <c r="K252" s="5">
        <v>0</v>
      </c>
      <c r="L252" s="5">
        <v>200000</v>
      </c>
      <c r="M252" s="5">
        <v>0</v>
      </c>
      <c r="N252" s="6"/>
      <c r="O252" s="6">
        <f t="shared" si="7"/>
        <v>572550</v>
      </c>
      <c r="P252" s="6">
        <f t="shared" si="8"/>
        <v>-572550</v>
      </c>
    </row>
    <row r="253" spans="2:16" x14ac:dyDescent="0.35">
      <c r="B253" t="s">
        <v>161</v>
      </c>
      <c r="C253" s="2" t="s">
        <v>162</v>
      </c>
      <c r="D253">
        <v>81123101</v>
      </c>
      <c r="E253">
        <v>52071102</v>
      </c>
      <c r="G253" s="5">
        <v>0</v>
      </c>
      <c r="H253" s="5">
        <v>0</v>
      </c>
      <c r="I253" s="5">
        <v>529090</v>
      </c>
      <c r="J253" s="5">
        <v>75000</v>
      </c>
      <c r="K253" s="5">
        <v>85150</v>
      </c>
      <c r="L253" s="5">
        <v>6995</v>
      </c>
      <c r="M253" s="5">
        <v>10600</v>
      </c>
      <c r="N253" s="6"/>
      <c r="O253" s="6">
        <f t="shared" si="7"/>
        <v>706835</v>
      </c>
      <c r="P253" s="6">
        <f t="shared" si="8"/>
        <v>-706835</v>
      </c>
    </row>
    <row r="254" spans="2:16" x14ac:dyDescent="0.35">
      <c r="B254" t="s">
        <v>161</v>
      </c>
      <c r="C254" s="2" t="s">
        <v>163</v>
      </c>
      <c r="D254">
        <v>80123101</v>
      </c>
      <c r="E254">
        <v>61071005</v>
      </c>
      <c r="G254" s="5">
        <v>20000</v>
      </c>
      <c r="H254" s="5">
        <v>20000</v>
      </c>
      <c r="I254" s="5">
        <v>0</v>
      </c>
      <c r="J254" s="5">
        <v>40000</v>
      </c>
      <c r="K254" s="5">
        <v>20000</v>
      </c>
      <c r="L254" s="5">
        <v>20000</v>
      </c>
      <c r="M254" s="5">
        <v>20000</v>
      </c>
      <c r="N254" s="6"/>
      <c r="O254" s="6">
        <f t="shared" si="7"/>
        <v>140000</v>
      </c>
      <c r="P254" s="6">
        <f t="shared" si="8"/>
        <v>-140000</v>
      </c>
    </row>
    <row r="255" spans="2:16" x14ac:dyDescent="0.35">
      <c r="B255" t="s">
        <v>161</v>
      </c>
      <c r="C255" s="2" t="s">
        <v>164</v>
      </c>
      <c r="D255">
        <v>80123101</v>
      </c>
      <c r="E255">
        <v>61071005</v>
      </c>
      <c r="G255" s="5">
        <v>7000</v>
      </c>
      <c r="H255" s="5">
        <v>7000</v>
      </c>
      <c r="I255" s="5">
        <v>7000</v>
      </c>
      <c r="J255" s="5">
        <v>7000</v>
      </c>
      <c r="K255" s="5">
        <v>7000</v>
      </c>
      <c r="L255" s="5">
        <v>7000</v>
      </c>
      <c r="M255" s="5">
        <v>7000</v>
      </c>
      <c r="N255" s="6"/>
      <c r="O255" s="6">
        <f t="shared" si="7"/>
        <v>49000</v>
      </c>
      <c r="P255" s="6">
        <f t="shared" si="8"/>
        <v>-49000</v>
      </c>
    </row>
    <row r="256" spans="2:16" x14ac:dyDescent="0.35">
      <c r="B256" t="s">
        <v>161</v>
      </c>
      <c r="C256" s="2" t="s">
        <v>165</v>
      </c>
      <c r="D256">
        <v>80123101</v>
      </c>
      <c r="E256">
        <v>61071005</v>
      </c>
      <c r="G256" s="5">
        <v>20000</v>
      </c>
      <c r="H256" s="5">
        <v>20000</v>
      </c>
      <c r="I256" s="5">
        <v>20000</v>
      </c>
      <c r="J256" s="5">
        <v>20000</v>
      </c>
      <c r="K256" s="5">
        <v>20000</v>
      </c>
      <c r="L256" s="5">
        <v>0</v>
      </c>
      <c r="M256" s="5">
        <v>40000</v>
      </c>
      <c r="N256" s="6"/>
      <c r="O256" s="6">
        <f t="shared" si="7"/>
        <v>140000</v>
      </c>
      <c r="P256" s="6">
        <f t="shared" si="8"/>
        <v>-140000</v>
      </c>
    </row>
    <row r="257" spans="2:16" x14ac:dyDescent="0.35">
      <c r="B257" t="s">
        <v>161</v>
      </c>
      <c r="C257" s="2" t="s">
        <v>166</v>
      </c>
      <c r="D257">
        <v>80123101</v>
      </c>
      <c r="E257">
        <v>61071005</v>
      </c>
      <c r="G257" s="5">
        <v>10000</v>
      </c>
      <c r="H257" s="5">
        <v>10000</v>
      </c>
      <c r="I257" s="5">
        <v>0</v>
      </c>
      <c r="J257" s="5">
        <v>20000</v>
      </c>
      <c r="K257" s="5">
        <v>10000</v>
      </c>
      <c r="L257" s="5">
        <v>0</v>
      </c>
      <c r="M257" s="5">
        <v>20000</v>
      </c>
      <c r="N257" s="6"/>
      <c r="O257" s="6">
        <f t="shared" si="7"/>
        <v>70000</v>
      </c>
      <c r="P257" s="6">
        <f t="shared" si="8"/>
        <v>-70000</v>
      </c>
    </row>
    <row r="258" spans="2:16" x14ac:dyDescent="0.35">
      <c r="B258" t="s">
        <v>161</v>
      </c>
      <c r="C258" s="2" t="s">
        <v>167</v>
      </c>
      <c r="D258">
        <v>80123101</v>
      </c>
      <c r="E258">
        <v>61071005</v>
      </c>
      <c r="G258" s="5">
        <v>10000</v>
      </c>
      <c r="H258" s="5">
        <v>10000</v>
      </c>
      <c r="I258" s="5">
        <v>0</v>
      </c>
      <c r="J258" s="5">
        <v>20000</v>
      </c>
      <c r="K258" s="5">
        <v>10000</v>
      </c>
      <c r="L258" s="5">
        <v>10000</v>
      </c>
      <c r="M258" s="5">
        <v>10000</v>
      </c>
      <c r="N258" s="6"/>
      <c r="O258" s="6">
        <f t="shared" si="7"/>
        <v>70000</v>
      </c>
      <c r="P258" s="6">
        <f t="shared" si="8"/>
        <v>-70000</v>
      </c>
    </row>
    <row r="259" spans="2:16" x14ac:dyDescent="0.35">
      <c r="B259" t="s">
        <v>93</v>
      </c>
      <c r="C259" s="2" t="s">
        <v>168</v>
      </c>
      <c r="D259">
        <v>80134102</v>
      </c>
      <c r="E259">
        <v>61071001</v>
      </c>
      <c r="G259" s="5">
        <v>0</v>
      </c>
      <c r="H259" s="5">
        <v>0</v>
      </c>
      <c r="I259" s="5">
        <v>0</v>
      </c>
      <c r="J259" s="5">
        <v>487200</v>
      </c>
      <c r="K259" s="5">
        <v>0</v>
      </c>
      <c r="L259" s="5">
        <v>584640</v>
      </c>
      <c r="M259" s="5">
        <v>0</v>
      </c>
      <c r="N259" s="6"/>
      <c r="O259" s="6">
        <f t="shared" si="7"/>
        <v>1071840</v>
      </c>
      <c r="P259" s="6">
        <f t="shared" si="8"/>
        <v>-1071840</v>
      </c>
    </row>
    <row r="260" spans="2:16" x14ac:dyDescent="0.35">
      <c r="B260" t="s">
        <v>93</v>
      </c>
      <c r="C260" s="2" t="s">
        <v>168</v>
      </c>
      <c r="D260">
        <v>81134102</v>
      </c>
      <c r="E260">
        <v>61071001</v>
      </c>
      <c r="G260" s="5">
        <v>0</v>
      </c>
      <c r="H260" s="5">
        <v>0</v>
      </c>
      <c r="I260" s="5">
        <v>0</v>
      </c>
      <c r="J260" s="5">
        <v>0</v>
      </c>
      <c r="K260" s="5">
        <v>341376</v>
      </c>
      <c r="L260" s="5">
        <v>0</v>
      </c>
      <c r="M260" s="5">
        <v>0</v>
      </c>
      <c r="N260" s="6"/>
      <c r="O260" s="6">
        <f t="shared" ref="O260:O323" si="9">SUM(G260:N260)</f>
        <v>341376</v>
      </c>
      <c r="P260" s="6">
        <f t="shared" ref="P260:P323" si="10">F260-O260</f>
        <v>-341376</v>
      </c>
    </row>
    <row r="261" spans="2:16" x14ac:dyDescent="0.35">
      <c r="B261" t="s">
        <v>93</v>
      </c>
      <c r="C261" s="2" t="s">
        <v>168</v>
      </c>
      <c r="D261">
        <v>90134102</v>
      </c>
      <c r="E261">
        <v>61071001</v>
      </c>
      <c r="G261" s="5">
        <v>0</v>
      </c>
      <c r="H261" s="5">
        <v>0</v>
      </c>
      <c r="I261" s="5">
        <v>0</v>
      </c>
      <c r="J261" s="5">
        <v>0</v>
      </c>
      <c r="K261" s="5">
        <v>240000</v>
      </c>
      <c r="L261" s="5">
        <v>0</v>
      </c>
      <c r="M261" s="5">
        <v>0</v>
      </c>
      <c r="N261" s="6"/>
      <c r="O261" s="6">
        <f t="shared" si="9"/>
        <v>240000</v>
      </c>
      <c r="P261" s="6">
        <f t="shared" si="10"/>
        <v>-240000</v>
      </c>
    </row>
    <row r="262" spans="2:16" x14ac:dyDescent="0.35">
      <c r="B262" t="s">
        <v>169</v>
      </c>
      <c r="C262" s="2" t="s">
        <v>170</v>
      </c>
      <c r="D262">
        <v>80134102</v>
      </c>
      <c r="E262">
        <v>61071006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107184</v>
      </c>
      <c r="M262" s="5">
        <v>0</v>
      </c>
      <c r="N262" s="6"/>
      <c r="O262" s="6">
        <f t="shared" si="9"/>
        <v>107184</v>
      </c>
      <c r="P262" s="6">
        <f t="shared" si="10"/>
        <v>-107184</v>
      </c>
    </row>
    <row r="263" spans="2:16" x14ac:dyDescent="0.35">
      <c r="B263" t="s">
        <v>169</v>
      </c>
      <c r="C263" s="2" t="s">
        <v>171</v>
      </c>
      <c r="D263">
        <v>81134102</v>
      </c>
      <c r="E263">
        <v>61071006</v>
      </c>
      <c r="G263" s="5">
        <v>0</v>
      </c>
      <c r="H263" s="5">
        <v>0</v>
      </c>
      <c r="I263" s="5">
        <v>0</v>
      </c>
      <c r="J263" s="5">
        <v>0</v>
      </c>
      <c r="K263" s="5">
        <v>34137.599999999999</v>
      </c>
      <c r="L263" s="5">
        <v>0</v>
      </c>
      <c r="M263" s="5">
        <v>0</v>
      </c>
      <c r="N263" s="6"/>
      <c r="O263" s="6">
        <f t="shared" si="9"/>
        <v>34137.599999999999</v>
      </c>
      <c r="P263" s="6">
        <f t="shared" si="10"/>
        <v>-34137.599999999999</v>
      </c>
    </row>
    <row r="264" spans="2:16" x14ac:dyDescent="0.35">
      <c r="B264" t="s">
        <v>93</v>
      </c>
      <c r="C264" s="2" t="s">
        <v>172</v>
      </c>
      <c r="D264" s="2">
        <v>90134102</v>
      </c>
      <c r="E264" s="2">
        <v>52071104</v>
      </c>
      <c r="F264" s="2"/>
      <c r="G264" s="5">
        <v>0</v>
      </c>
      <c r="H264" s="5">
        <v>47000</v>
      </c>
      <c r="I264" s="5">
        <v>46000</v>
      </c>
      <c r="J264" s="5">
        <v>0</v>
      </c>
      <c r="K264" s="5">
        <v>0</v>
      </c>
      <c r="L264" s="5">
        <v>0</v>
      </c>
      <c r="M264" s="5">
        <v>0</v>
      </c>
      <c r="N264" s="6"/>
      <c r="O264" s="6">
        <f t="shared" si="9"/>
        <v>93000</v>
      </c>
      <c r="P264" s="6">
        <f t="shared" si="10"/>
        <v>-93000</v>
      </c>
    </row>
    <row r="265" spans="2:16" x14ac:dyDescent="0.35">
      <c r="B265" t="s">
        <v>38</v>
      </c>
      <c r="C265" s="2" t="s">
        <v>173</v>
      </c>
      <c r="D265">
        <v>80133102</v>
      </c>
      <c r="E265">
        <v>61071004</v>
      </c>
      <c r="G265" s="5">
        <v>0</v>
      </c>
      <c r="H265" s="5">
        <v>0</v>
      </c>
      <c r="I265" s="5">
        <v>0</v>
      </c>
      <c r="J265" s="5">
        <v>0</v>
      </c>
      <c r="K265" s="5">
        <v>250000</v>
      </c>
      <c r="L265" s="5">
        <v>250000</v>
      </c>
      <c r="M265" s="5">
        <v>0</v>
      </c>
      <c r="N265" s="6"/>
      <c r="O265" s="6">
        <f t="shared" si="9"/>
        <v>500000</v>
      </c>
      <c r="P265" s="6">
        <f t="shared" si="10"/>
        <v>-500000</v>
      </c>
    </row>
    <row r="266" spans="2:16" x14ac:dyDescent="0.35">
      <c r="B266" t="s">
        <v>38</v>
      </c>
      <c r="C266" s="2" t="s">
        <v>173</v>
      </c>
      <c r="D266">
        <v>81133102</v>
      </c>
      <c r="E266">
        <v>52071104</v>
      </c>
      <c r="G266" s="5">
        <v>0</v>
      </c>
      <c r="H266" s="5">
        <v>0</v>
      </c>
      <c r="I266" s="5">
        <v>0</v>
      </c>
      <c r="J266" s="5">
        <v>250000</v>
      </c>
      <c r="K266" s="5">
        <v>0</v>
      </c>
      <c r="L266" s="5">
        <v>250000</v>
      </c>
      <c r="M266" s="5">
        <v>0</v>
      </c>
      <c r="N266" s="6"/>
      <c r="O266" s="6">
        <f t="shared" si="9"/>
        <v>500000</v>
      </c>
      <c r="P266" s="6">
        <f t="shared" si="10"/>
        <v>-500000</v>
      </c>
    </row>
    <row r="267" spans="2:16" x14ac:dyDescent="0.35">
      <c r="B267" t="s">
        <v>38</v>
      </c>
      <c r="C267" s="2" t="s">
        <v>173</v>
      </c>
      <c r="D267">
        <v>90133102</v>
      </c>
      <c r="E267">
        <v>52071104</v>
      </c>
      <c r="G267" s="5">
        <v>250000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6"/>
      <c r="O267" s="6">
        <f t="shared" si="9"/>
        <v>250000</v>
      </c>
      <c r="P267" s="6">
        <f t="shared" si="10"/>
        <v>-250000</v>
      </c>
    </row>
    <row r="268" spans="2:16" x14ac:dyDescent="0.35">
      <c r="B268" t="s">
        <v>38</v>
      </c>
      <c r="C268" s="2" t="s">
        <v>173</v>
      </c>
      <c r="D268" s="2">
        <v>81133102</v>
      </c>
      <c r="E268" s="2">
        <v>52071106</v>
      </c>
      <c r="F268" s="2"/>
      <c r="G268" s="5">
        <v>0</v>
      </c>
      <c r="H268" s="5">
        <v>0</v>
      </c>
      <c r="I268" s="5">
        <v>0</v>
      </c>
      <c r="J268" s="5">
        <v>-42000</v>
      </c>
      <c r="K268" s="6"/>
      <c r="L268" s="5">
        <v>0</v>
      </c>
      <c r="M268" s="5">
        <v>0</v>
      </c>
      <c r="N268" s="6"/>
      <c r="O268" s="6">
        <f t="shared" si="9"/>
        <v>-42000</v>
      </c>
      <c r="P268" s="6">
        <f t="shared" si="10"/>
        <v>42000</v>
      </c>
    </row>
    <row r="269" spans="2:16" x14ac:dyDescent="0.35">
      <c r="B269" t="s">
        <v>93</v>
      </c>
      <c r="C269" s="2" t="s">
        <v>174</v>
      </c>
      <c r="D269">
        <v>90111101</v>
      </c>
      <c r="E269">
        <v>52071199</v>
      </c>
      <c r="G269" s="5">
        <v>61588.54</v>
      </c>
      <c r="H269" s="5">
        <v>61588.54</v>
      </c>
      <c r="I269" s="5">
        <v>-123177.08</v>
      </c>
      <c r="J269" s="5">
        <v>246354.16</v>
      </c>
      <c r="K269" s="5">
        <v>-246354.16</v>
      </c>
      <c r="L269" s="5">
        <v>184765.62</v>
      </c>
      <c r="M269" s="5">
        <v>246354.15999999997</v>
      </c>
      <c r="N269" s="6"/>
      <c r="O269" s="6">
        <f t="shared" si="9"/>
        <v>431119.77999999997</v>
      </c>
      <c r="P269" s="6">
        <f t="shared" si="10"/>
        <v>-431119.77999999997</v>
      </c>
    </row>
    <row r="270" spans="2:16" x14ac:dyDescent="0.35">
      <c r="B270" t="s">
        <v>36</v>
      </c>
      <c r="C270" s="2" t="s">
        <v>175</v>
      </c>
      <c r="D270">
        <v>90111101</v>
      </c>
      <c r="E270">
        <v>52041495</v>
      </c>
      <c r="G270" s="5">
        <v>0</v>
      </c>
      <c r="H270" s="5">
        <v>90906.64</v>
      </c>
      <c r="I270" s="5">
        <v>11036.68</v>
      </c>
      <c r="J270" s="5">
        <v>56910</v>
      </c>
      <c r="K270" s="5">
        <v>113190</v>
      </c>
      <c r="L270" s="5">
        <v>50156.84</v>
      </c>
      <c r="M270" s="5">
        <v>51490.01</v>
      </c>
      <c r="N270" s="6"/>
      <c r="O270" s="6">
        <f t="shared" si="9"/>
        <v>373690.17000000004</v>
      </c>
      <c r="P270" s="6">
        <f t="shared" si="10"/>
        <v>-373690.17000000004</v>
      </c>
    </row>
    <row r="271" spans="2:16" x14ac:dyDescent="0.35">
      <c r="B271" t="s">
        <v>36</v>
      </c>
      <c r="C271" s="2" t="s">
        <v>175</v>
      </c>
      <c r="D271">
        <v>90111101</v>
      </c>
      <c r="E271">
        <v>52041495</v>
      </c>
      <c r="G271" s="5">
        <v>50037.27</v>
      </c>
      <c r="H271" s="5">
        <v>0</v>
      </c>
      <c r="I271" s="6"/>
      <c r="J271" s="5">
        <v>0</v>
      </c>
      <c r="K271" s="6"/>
      <c r="L271" s="5">
        <v>0</v>
      </c>
      <c r="M271" s="5">
        <v>0</v>
      </c>
      <c r="N271" s="6"/>
      <c r="O271" s="6">
        <f t="shared" si="9"/>
        <v>50037.27</v>
      </c>
      <c r="P271" s="6">
        <f t="shared" si="10"/>
        <v>-50037.27</v>
      </c>
    </row>
    <row r="272" spans="2:16" x14ac:dyDescent="0.35">
      <c r="B272" t="s">
        <v>157</v>
      </c>
      <c r="C272" s="2" t="s">
        <v>157</v>
      </c>
      <c r="D272">
        <v>80123101</v>
      </c>
      <c r="E272">
        <v>61071002</v>
      </c>
      <c r="G272" s="5">
        <v>0</v>
      </c>
      <c r="H272" s="5">
        <v>8200</v>
      </c>
      <c r="I272" s="5">
        <v>5900</v>
      </c>
      <c r="J272" s="5">
        <v>0</v>
      </c>
      <c r="K272" s="5">
        <v>0</v>
      </c>
      <c r="L272" s="5">
        <v>0</v>
      </c>
      <c r="M272" s="5">
        <v>0</v>
      </c>
      <c r="N272" s="6"/>
      <c r="O272" s="6">
        <f t="shared" si="9"/>
        <v>14100</v>
      </c>
      <c r="P272" s="6">
        <f t="shared" si="10"/>
        <v>-14100</v>
      </c>
    </row>
    <row r="273" spans="2:16" x14ac:dyDescent="0.35">
      <c r="B273" t="s">
        <v>157</v>
      </c>
      <c r="C273" s="2" t="s">
        <v>157</v>
      </c>
      <c r="D273">
        <v>81123101</v>
      </c>
      <c r="E273">
        <v>52071102</v>
      </c>
      <c r="G273" s="5">
        <v>0</v>
      </c>
      <c r="H273" s="5">
        <v>4200</v>
      </c>
      <c r="I273" s="5">
        <v>5500</v>
      </c>
      <c r="J273" s="5">
        <v>0</v>
      </c>
      <c r="K273" s="5">
        <v>4500</v>
      </c>
      <c r="L273" s="5">
        <v>0</v>
      </c>
      <c r="M273" s="5">
        <v>0</v>
      </c>
      <c r="N273" s="6"/>
      <c r="O273" s="6">
        <f t="shared" si="9"/>
        <v>14200</v>
      </c>
      <c r="P273" s="6">
        <f t="shared" si="10"/>
        <v>-14200</v>
      </c>
    </row>
    <row r="274" spans="2:16" x14ac:dyDescent="0.35">
      <c r="B274" t="s">
        <v>157</v>
      </c>
      <c r="C274" s="2" t="s">
        <v>157</v>
      </c>
      <c r="D274">
        <v>90123101</v>
      </c>
      <c r="E274">
        <v>61071002</v>
      </c>
      <c r="G274" s="5">
        <v>0</v>
      </c>
      <c r="H274" s="5">
        <v>4150</v>
      </c>
      <c r="I274" s="5">
        <v>3000</v>
      </c>
      <c r="J274" s="5">
        <v>2500</v>
      </c>
      <c r="K274" s="5">
        <v>500</v>
      </c>
      <c r="L274" s="5">
        <v>1500</v>
      </c>
      <c r="M274" s="5">
        <v>250</v>
      </c>
      <c r="N274" s="6"/>
      <c r="O274" s="6">
        <f t="shared" si="9"/>
        <v>11900</v>
      </c>
      <c r="P274" s="6">
        <f t="shared" si="10"/>
        <v>-11900</v>
      </c>
    </row>
    <row r="275" spans="2:16" x14ac:dyDescent="0.35">
      <c r="B275" t="e">
        <v>#N/A</v>
      </c>
      <c r="C275" s="2" t="s">
        <v>176</v>
      </c>
      <c r="D275">
        <v>90111204</v>
      </c>
      <c r="E275">
        <v>61091101</v>
      </c>
      <c r="G275" s="5">
        <v>5503.75</v>
      </c>
      <c r="H275" s="5">
        <v>0</v>
      </c>
      <c r="I275" s="5">
        <v>9324.91</v>
      </c>
      <c r="J275" s="5">
        <v>8707.75</v>
      </c>
      <c r="K275" s="5">
        <v>300</v>
      </c>
      <c r="L275" s="5">
        <v>0</v>
      </c>
      <c r="M275" s="5">
        <v>1605.8</v>
      </c>
      <c r="N275" s="6"/>
      <c r="O275" s="6">
        <f t="shared" si="9"/>
        <v>25442.21</v>
      </c>
      <c r="P275" s="6">
        <f t="shared" si="10"/>
        <v>-25442.21</v>
      </c>
    </row>
    <row r="276" spans="2:16" x14ac:dyDescent="0.35">
      <c r="B276" t="e">
        <v>#N/A</v>
      </c>
      <c r="C276" s="2" t="s">
        <v>176</v>
      </c>
      <c r="D276">
        <v>80111204</v>
      </c>
      <c r="E276">
        <v>61091101</v>
      </c>
      <c r="G276" s="5">
        <v>0</v>
      </c>
      <c r="H276" s="5">
        <v>2036.98</v>
      </c>
      <c r="I276" s="5">
        <v>0</v>
      </c>
      <c r="J276" s="5">
        <v>0</v>
      </c>
      <c r="K276" s="5">
        <v>3718.29</v>
      </c>
      <c r="L276" s="5">
        <v>0</v>
      </c>
      <c r="M276" s="5">
        <v>0</v>
      </c>
      <c r="N276" s="6"/>
      <c r="O276" s="6">
        <f t="shared" si="9"/>
        <v>5755.27</v>
      </c>
      <c r="P276" s="6">
        <f t="shared" si="10"/>
        <v>-5755.27</v>
      </c>
    </row>
    <row r="277" spans="2:16" x14ac:dyDescent="0.35">
      <c r="B277" t="s">
        <v>156</v>
      </c>
      <c r="C277" s="2" t="s">
        <v>156</v>
      </c>
      <c r="D277">
        <v>81111204</v>
      </c>
      <c r="E277">
        <v>52091102</v>
      </c>
      <c r="G277" s="5">
        <v>598</v>
      </c>
      <c r="H277" s="5">
        <v>5555.64</v>
      </c>
      <c r="I277" s="5">
        <v>1382.15</v>
      </c>
      <c r="J277" s="5">
        <v>294</v>
      </c>
      <c r="K277" s="5">
        <v>1883.89</v>
      </c>
      <c r="L277" s="5">
        <v>3611.52</v>
      </c>
      <c r="M277" s="5">
        <v>0</v>
      </c>
      <c r="N277" s="6"/>
      <c r="O277" s="6">
        <f t="shared" si="9"/>
        <v>13325.2</v>
      </c>
      <c r="P277" s="6">
        <f t="shared" si="10"/>
        <v>-13325.2</v>
      </c>
    </row>
    <row r="278" spans="2:16" x14ac:dyDescent="0.35">
      <c r="B278" t="s">
        <v>156</v>
      </c>
      <c r="C278" s="2" t="s">
        <v>156</v>
      </c>
      <c r="D278">
        <v>90111204</v>
      </c>
      <c r="E278">
        <v>61091102</v>
      </c>
      <c r="G278" s="5">
        <v>5268</v>
      </c>
      <c r="H278" s="5">
        <v>4320</v>
      </c>
      <c r="I278" s="5">
        <v>17382.990000000002</v>
      </c>
      <c r="J278" s="5">
        <v>11106.71</v>
      </c>
      <c r="K278" s="5">
        <v>1220</v>
      </c>
      <c r="L278" s="5">
        <v>3335</v>
      </c>
      <c r="M278" s="5">
        <v>5993.2600000000011</v>
      </c>
      <c r="N278" s="6"/>
      <c r="O278" s="6">
        <f t="shared" si="9"/>
        <v>48625.96</v>
      </c>
      <c r="P278" s="6">
        <f t="shared" si="10"/>
        <v>-48625.96</v>
      </c>
    </row>
    <row r="279" spans="2:16" x14ac:dyDescent="0.35">
      <c r="B279" t="s">
        <v>156</v>
      </c>
      <c r="C279" s="2" t="s">
        <v>156</v>
      </c>
      <c r="D279">
        <v>80111204</v>
      </c>
      <c r="E279">
        <v>61091102</v>
      </c>
      <c r="G279" s="5">
        <v>0</v>
      </c>
      <c r="H279" s="5">
        <v>3463.93</v>
      </c>
      <c r="I279" s="5">
        <v>6295.36</v>
      </c>
      <c r="J279" s="5">
        <v>0</v>
      </c>
      <c r="K279" s="5">
        <v>658.93</v>
      </c>
      <c r="L279" s="5">
        <v>4499</v>
      </c>
      <c r="M279" s="5">
        <v>0</v>
      </c>
      <c r="N279" s="6"/>
      <c r="O279" s="6">
        <f t="shared" si="9"/>
        <v>14917.22</v>
      </c>
      <c r="P279" s="6">
        <f t="shared" si="10"/>
        <v>-14917.22</v>
      </c>
    </row>
    <row r="280" spans="2:16" x14ac:dyDescent="0.35">
      <c r="B280" t="s">
        <v>156</v>
      </c>
      <c r="C280" s="2" t="s">
        <v>156</v>
      </c>
      <c r="D280">
        <v>80123101</v>
      </c>
      <c r="E280">
        <v>61091101</v>
      </c>
      <c r="G280" s="5">
        <v>484.73</v>
      </c>
      <c r="H280" s="5">
        <v>289.73</v>
      </c>
      <c r="I280" s="5">
        <v>4741.58</v>
      </c>
      <c r="J280" s="5">
        <v>10985.07</v>
      </c>
      <c r="K280" s="5">
        <v>5116.83</v>
      </c>
      <c r="L280" s="5">
        <v>5342.95</v>
      </c>
      <c r="M280" s="5">
        <v>2962.88</v>
      </c>
      <c r="N280" s="6"/>
      <c r="O280" s="6">
        <f t="shared" si="9"/>
        <v>29923.770000000004</v>
      </c>
      <c r="P280" s="6">
        <f t="shared" si="10"/>
        <v>-29923.770000000004</v>
      </c>
    </row>
    <row r="281" spans="2:16" x14ac:dyDescent="0.35">
      <c r="B281" t="s">
        <v>156</v>
      </c>
      <c r="C281" s="2" t="s">
        <v>156</v>
      </c>
      <c r="D281">
        <v>81123102</v>
      </c>
      <c r="E281">
        <v>52091102</v>
      </c>
      <c r="G281" s="5">
        <v>0</v>
      </c>
      <c r="H281" s="5">
        <v>0</v>
      </c>
      <c r="I281" s="5">
        <v>15612.41</v>
      </c>
      <c r="J281" s="5">
        <v>0</v>
      </c>
      <c r="K281" s="5">
        <v>0</v>
      </c>
      <c r="L281" s="5">
        <v>0</v>
      </c>
      <c r="M281" s="5">
        <v>0</v>
      </c>
      <c r="N281" s="6"/>
      <c r="O281" s="6">
        <f t="shared" si="9"/>
        <v>15612.41</v>
      </c>
      <c r="P281" s="6">
        <f t="shared" si="10"/>
        <v>-15612.41</v>
      </c>
    </row>
    <row r="282" spans="2:16" x14ac:dyDescent="0.35">
      <c r="B282" t="s">
        <v>156</v>
      </c>
      <c r="C282" s="2" t="s">
        <v>156</v>
      </c>
      <c r="D282" s="2">
        <v>81319101</v>
      </c>
      <c r="E282" s="2">
        <v>52091102</v>
      </c>
      <c r="F282" s="2"/>
      <c r="G282" s="5"/>
      <c r="H282" s="5"/>
      <c r="I282" s="5"/>
      <c r="J282" s="5"/>
      <c r="K282" s="5">
        <v>1140</v>
      </c>
      <c r="L282" s="5">
        <v>0</v>
      </c>
      <c r="M282" s="5">
        <v>0</v>
      </c>
      <c r="N282" s="6"/>
      <c r="O282" s="6">
        <f t="shared" si="9"/>
        <v>1140</v>
      </c>
      <c r="P282" s="6">
        <f t="shared" si="10"/>
        <v>-1140</v>
      </c>
    </row>
    <row r="283" spans="2:16" x14ac:dyDescent="0.35">
      <c r="B283" t="s">
        <v>124</v>
      </c>
      <c r="C283" s="2" t="s">
        <v>177</v>
      </c>
      <c r="D283">
        <v>81133103</v>
      </c>
      <c r="E283">
        <v>52952101</v>
      </c>
      <c r="G283" s="5">
        <v>0</v>
      </c>
      <c r="H283" s="5">
        <v>0</v>
      </c>
      <c r="I283" s="5">
        <v>0</v>
      </c>
      <c r="J283" s="5">
        <v>0</v>
      </c>
      <c r="K283" s="5">
        <v>17020</v>
      </c>
      <c r="L283" s="5">
        <v>0</v>
      </c>
      <c r="M283" s="5">
        <v>0</v>
      </c>
      <c r="N283" s="6"/>
      <c r="O283" s="6">
        <f t="shared" si="9"/>
        <v>17020</v>
      </c>
      <c r="P283" s="6">
        <f t="shared" si="10"/>
        <v>-17020</v>
      </c>
    </row>
    <row r="284" spans="2:16" x14ac:dyDescent="0.35">
      <c r="B284" t="s">
        <v>124</v>
      </c>
      <c r="C284" s="2" t="s">
        <v>177</v>
      </c>
      <c r="D284">
        <v>80133103</v>
      </c>
      <c r="E284">
        <v>61711101</v>
      </c>
      <c r="G284" s="5">
        <v>0</v>
      </c>
      <c r="H284" s="5">
        <v>0</v>
      </c>
      <c r="I284" s="5">
        <v>0</v>
      </c>
      <c r="J284" s="5">
        <v>17020</v>
      </c>
      <c r="K284" s="5">
        <v>0</v>
      </c>
      <c r="L284" s="5">
        <v>0</v>
      </c>
      <c r="M284" s="5">
        <v>0</v>
      </c>
      <c r="N284" s="6"/>
      <c r="O284" s="6">
        <f t="shared" si="9"/>
        <v>17020</v>
      </c>
      <c r="P284" s="6">
        <f t="shared" si="10"/>
        <v>-17020</v>
      </c>
    </row>
    <row r="285" spans="2:16" x14ac:dyDescent="0.35">
      <c r="B285" t="s">
        <v>40</v>
      </c>
      <c r="C285" t="s">
        <v>40</v>
      </c>
      <c r="D285">
        <v>81123102</v>
      </c>
      <c r="E285">
        <v>52041405</v>
      </c>
      <c r="G285" s="5">
        <v>0</v>
      </c>
      <c r="H285" s="5">
        <v>0</v>
      </c>
      <c r="I285" s="6"/>
      <c r="J285" s="5">
        <v>0</v>
      </c>
      <c r="K285" s="6"/>
      <c r="L285" s="5">
        <v>0</v>
      </c>
      <c r="M285" s="5">
        <v>0</v>
      </c>
      <c r="N285" s="6"/>
      <c r="O285" s="6">
        <f t="shared" si="9"/>
        <v>0</v>
      </c>
      <c r="P285" s="6">
        <f t="shared" si="10"/>
        <v>0</v>
      </c>
    </row>
    <row r="286" spans="2:16" x14ac:dyDescent="0.35">
      <c r="B286" t="s">
        <v>7</v>
      </c>
      <c r="C286" s="2" t="s">
        <v>6</v>
      </c>
      <c r="D286">
        <v>81133102</v>
      </c>
      <c r="E286">
        <v>61959201</v>
      </c>
      <c r="G286" s="5">
        <v>0</v>
      </c>
      <c r="H286" s="5">
        <v>0</v>
      </c>
      <c r="I286" s="5">
        <v>0</v>
      </c>
      <c r="J286" s="5">
        <v>0</v>
      </c>
      <c r="K286" s="5">
        <v>300</v>
      </c>
      <c r="L286" s="5">
        <v>0</v>
      </c>
      <c r="M286" s="5">
        <v>0</v>
      </c>
      <c r="N286" s="6"/>
      <c r="O286" s="6">
        <f t="shared" si="9"/>
        <v>300</v>
      </c>
      <c r="P286" s="6">
        <f t="shared" si="10"/>
        <v>-300</v>
      </c>
    </row>
    <row r="287" spans="2:16" x14ac:dyDescent="0.35">
      <c r="B287" t="s">
        <v>38</v>
      </c>
      <c r="C287" s="2" t="s">
        <v>178</v>
      </c>
      <c r="D287">
        <v>90133102</v>
      </c>
      <c r="E287">
        <v>61959201</v>
      </c>
      <c r="G287" s="5">
        <v>0</v>
      </c>
      <c r="H287" s="5">
        <v>0</v>
      </c>
      <c r="I287" s="5">
        <v>300</v>
      </c>
      <c r="J287" s="5">
        <v>0</v>
      </c>
      <c r="K287" s="5">
        <v>0</v>
      </c>
      <c r="L287" s="5">
        <v>0</v>
      </c>
      <c r="M287" s="5">
        <v>0</v>
      </c>
      <c r="N287" s="6"/>
      <c r="O287" s="6">
        <f t="shared" si="9"/>
        <v>300</v>
      </c>
      <c r="P287" s="6">
        <f t="shared" si="10"/>
        <v>-300</v>
      </c>
    </row>
    <row r="288" spans="2:16" x14ac:dyDescent="0.35">
      <c r="B288" t="s">
        <v>179</v>
      </c>
      <c r="C288" s="2" t="s">
        <v>6</v>
      </c>
      <c r="D288">
        <v>81319101</v>
      </c>
      <c r="E288">
        <v>52111101</v>
      </c>
      <c r="G288" s="5">
        <v>17410.71</v>
      </c>
      <c r="H288" s="5">
        <v>8660.43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6"/>
      <c r="O288" s="6">
        <f t="shared" si="9"/>
        <v>26071.14</v>
      </c>
      <c r="P288" s="6">
        <f t="shared" si="10"/>
        <v>-26071.14</v>
      </c>
    </row>
    <row r="289" spans="2:16" x14ac:dyDescent="0.35">
      <c r="B289" t="s">
        <v>40</v>
      </c>
      <c r="C289" t="s">
        <v>40</v>
      </c>
      <c r="D289">
        <v>81123102</v>
      </c>
      <c r="E289">
        <v>52041405</v>
      </c>
      <c r="G289" s="5">
        <v>0</v>
      </c>
      <c r="H289" s="5">
        <v>74615.570000000007</v>
      </c>
      <c r="I289" s="5">
        <v>-11816.85</v>
      </c>
      <c r="J289" s="5">
        <v>0</v>
      </c>
      <c r="K289" s="6"/>
      <c r="L289" s="5">
        <v>0</v>
      </c>
      <c r="M289" s="5">
        <v>0</v>
      </c>
      <c r="N289" s="6"/>
      <c r="O289" s="6">
        <f t="shared" si="9"/>
        <v>62798.720000000008</v>
      </c>
      <c r="P289" s="6">
        <f t="shared" si="10"/>
        <v>-62798.720000000008</v>
      </c>
    </row>
    <row r="290" spans="2:16" x14ac:dyDescent="0.35">
      <c r="B290" t="s">
        <v>40</v>
      </c>
      <c r="C290" t="s">
        <v>40</v>
      </c>
      <c r="D290">
        <v>81123102</v>
      </c>
      <c r="E290">
        <v>52041405</v>
      </c>
      <c r="G290" s="5">
        <v>0</v>
      </c>
      <c r="H290" s="5">
        <v>0</v>
      </c>
      <c r="I290" s="6"/>
      <c r="J290" s="5">
        <v>0</v>
      </c>
      <c r="K290" s="6"/>
      <c r="L290" s="5">
        <v>0</v>
      </c>
      <c r="M290" s="5">
        <v>0</v>
      </c>
      <c r="N290" s="6"/>
      <c r="O290" s="6">
        <f t="shared" si="9"/>
        <v>0</v>
      </c>
      <c r="P290" s="6">
        <f t="shared" si="10"/>
        <v>0</v>
      </c>
    </row>
    <row r="291" spans="2:16" x14ac:dyDescent="0.35">
      <c r="B291" t="s">
        <v>40</v>
      </c>
      <c r="C291" t="s">
        <v>40</v>
      </c>
      <c r="D291">
        <v>81319101</v>
      </c>
      <c r="E291">
        <v>52041405</v>
      </c>
      <c r="G291" s="5">
        <v>0</v>
      </c>
      <c r="H291" s="5">
        <v>0</v>
      </c>
      <c r="I291" s="5">
        <v>105718.83</v>
      </c>
      <c r="J291" s="5">
        <v>34488.36</v>
      </c>
      <c r="K291" s="5">
        <v>39261.07</v>
      </c>
      <c r="L291" s="5">
        <v>41513.54</v>
      </c>
      <c r="M291" s="5">
        <v>34221.040000000001</v>
      </c>
      <c r="N291" s="6"/>
      <c r="O291" s="6">
        <f t="shared" si="9"/>
        <v>255202.84000000003</v>
      </c>
      <c r="P291" s="6">
        <f t="shared" si="10"/>
        <v>-255202.84000000003</v>
      </c>
    </row>
    <row r="292" spans="2:16" x14ac:dyDescent="0.35">
      <c r="B292" t="s">
        <v>40</v>
      </c>
      <c r="C292" t="s">
        <v>40</v>
      </c>
      <c r="D292">
        <v>81319101</v>
      </c>
      <c r="E292">
        <v>52041405</v>
      </c>
      <c r="G292" s="5">
        <v>22090.58</v>
      </c>
      <c r="H292" s="5">
        <v>31378.760000000002</v>
      </c>
      <c r="I292" s="5">
        <v>28977.4</v>
      </c>
      <c r="J292" s="5">
        <v>31282.61</v>
      </c>
      <c r="K292" s="5">
        <v>24011.5</v>
      </c>
      <c r="L292" s="5">
        <v>41055.009999999995</v>
      </c>
      <c r="M292" s="5">
        <v>30206.89</v>
      </c>
      <c r="N292" s="6"/>
      <c r="O292" s="6">
        <f t="shared" si="9"/>
        <v>209002.75</v>
      </c>
      <c r="P292" s="6">
        <f t="shared" si="10"/>
        <v>-209002.75</v>
      </c>
    </row>
    <row r="293" spans="2:16" x14ac:dyDescent="0.35">
      <c r="B293" t="s">
        <v>40</v>
      </c>
      <c r="C293" t="s">
        <v>40</v>
      </c>
      <c r="D293">
        <v>81319101</v>
      </c>
      <c r="E293">
        <v>52041405</v>
      </c>
      <c r="G293" s="5">
        <v>106448.6</v>
      </c>
      <c r="H293" s="5">
        <v>103794.73</v>
      </c>
      <c r="I293" s="5">
        <v>109157.77</v>
      </c>
      <c r="J293" s="5">
        <v>109726.66</v>
      </c>
      <c r="K293" s="5">
        <v>0</v>
      </c>
      <c r="L293" s="5">
        <v>319345.8</v>
      </c>
      <c r="M293" s="5">
        <v>106448.6</v>
      </c>
      <c r="N293" s="6"/>
      <c r="O293" s="6">
        <f t="shared" si="9"/>
        <v>854922.16</v>
      </c>
      <c r="P293" s="6">
        <f t="shared" si="10"/>
        <v>-854922.16</v>
      </c>
    </row>
    <row r="294" spans="2:16" x14ac:dyDescent="0.35">
      <c r="B294" t="s">
        <v>40</v>
      </c>
      <c r="C294" t="s">
        <v>40</v>
      </c>
      <c r="D294">
        <v>81319101</v>
      </c>
      <c r="E294">
        <v>52041405</v>
      </c>
      <c r="G294" s="5">
        <v>-83341.95</v>
      </c>
      <c r="H294" s="5">
        <v>5330.77</v>
      </c>
      <c r="I294" s="5">
        <v>0</v>
      </c>
      <c r="J294" s="5">
        <v>0</v>
      </c>
      <c r="K294" s="6"/>
      <c r="L294" s="5">
        <v>0</v>
      </c>
      <c r="M294" s="5">
        <v>0</v>
      </c>
      <c r="N294" s="6"/>
      <c r="O294" s="6">
        <f t="shared" si="9"/>
        <v>-78011.179999999993</v>
      </c>
      <c r="P294" s="6">
        <f t="shared" si="10"/>
        <v>78011.179999999993</v>
      </c>
    </row>
    <row r="295" spans="2:16" x14ac:dyDescent="0.35">
      <c r="B295" s="2" t="s">
        <v>180</v>
      </c>
      <c r="C295" s="2" t="s">
        <v>180</v>
      </c>
      <c r="D295">
        <v>81123102</v>
      </c>
      <c r="E295">
        <v>52041401</v>
      </c>
      <c r="G295" s="5">
        <v>0</v>
      </c>
      <c r="H295" s="5">
        <v>162252.37</v>
      </c>
      <c r="I295" s="5">
        <v>146550.53</v>
      </c>
      <c r="J295" s="5">
        <v>0</v>
      </c>
      <c r="K295" s="5">
        <v>501098.35000000003</v>
      </c>
      <c r="L295" s="5">
        <v>0</v>
      </c>
      <c r="M295" s="5">
        <v>361749.30000000005</v>
      </c>
      <c r="N295" s="6"/>
      <c r="O295" s="6">
        <f t="shared" si="9"/>
        <v>1171650.55</v>
      </c>
      <c r="P295" s="6">
        <f t="shared" si="10"/>
        <v>-1171650.55</v>
      </c>
    </row>
    <row r="296" spans="2:16" x14ac:dyDescent="0.35">
      <c r="B296" s="2" t="s">
        <v>180</v>
      </c>
      <c r="C296" s="2" t="s">
        <v>180</v>
      </c>
      <c r="D296">
        <v>81111101</v>
      </c>
      <c r="E296">
        <v>52041401</v>
      </c>
      <c r="G296" s="5">
        <v>258000</v>
      </c>
      <c r="H296" s="5">
        <v>123500</v>
      </c>
      <c r="I296" s="5">
        <v>-59717.189999999951</v>
      </c>
      <c r="J296" s="5">
        <v>179315.49</v>
      </c>
      <c r="K296" s="5">
        <v>-103990.95000000007</v>
      </c>
      <c r="L296" s="5">
        <v>229132.72999999998</v>
      </c>
      <c r="M296" s="5">
        <v>-43576.680000000051</v>
      </c>
      <c r="N296" s="6"/>
      <c r="O296" s="6">
        <f t="shared" si="9"/>
        <v>582663.39999999991</v>
      </c>
      <c r="P296" s="6">
        <f t="shared" si="10"/>
        <v>-582663.39999999991</v>
      </c>
    </row>
    <row r="297" spans="2:16" x14ac:dyDescent="0.35">
      <c r="B297" s="2" t="s">
        <v>180</v>
      </c>
      <c r="C297" s="2" t="s">
        <v>180</v>
      </c>
      <c r="D297">
        <v>81319101</v>
      </c>
      <c r="E297">
        <v>52041401</v>
      </c>
      <c r="G297" s="5">
        <v>109062.95999999999</v>
      </c>
      <c r="H297" s="5">
        <v>0</v>
      </c>
      <c r="I297" s="5">
        <v>207854.53999999998</v>
      </c>
      <c r="J297" s="5">
        <v>105258.84</v>
      </c>
      <c r="K297" s="5">
        <v>109062.95999999999</v>
      </c>
      <c r="L297" s="5">
        <v>105544.79999999999</v>
      </c>
      <c r="M297" s="5">
        <v>109062.95999999999</v>
      </c>
      <c r="N297" s="6"/>
      <c r="O297" s="6">
        <f t="shared" si="9"/>
        <v>745847.05999999982</v>
      </c>
      <c r="P297" s="6">
        <f t="shared" si="10"/>
        <v>-745847.05999999982</v>
      </c>
    </row>
    <row r="298" spans="2:16" x14ac:dyDescent="0.35">
      <c r="B298" s="2" t="s">
        <v>180</v>
      </c>
      <c r="C298" s="2" t="s">
        <v>180</v>
      </c>
      <c r="D298">
        <v>81319101</v>
      </c>
      <c r="E298">
        <v>52041401</v>
      </c>
      <c r="G298" s="5">
        <v>53188.189999999995</v>
      </c>
      <c r="H298" s="5">
        <v>0</v>
      </c>
      <c r="I298" s="5">
        <v>73777.16</v>
      </c>
      <c r="J298" s="5">
        <v>53872.070000000007</v>
      </c>
      <c r="K298" s="5">
        <v>25736.22</v>
      </c>
      <c r="L298" s="5">
        <v>75480.040000000008</v>
      </c>
      <c r="M298" s="5">
        <v>25736.22</v>
      </c>
      <c r="N298" s="6"/>
      <c r="O298" s="6">
        <f t="shared" si="9"/>
        <v>307789.90000000002</v>
      </c>
      <c r="P298" s="6">
        <f t="shared" si="10"/>
        <v>-307789.90000000002</v>
      </c>
    </row>
    <row r="299" spans="2:16" x14ac:dyDescent="0.35">
      <c r="B299" s="2" t="s">
        <v>180</v>
      </c>
      <c r="C299" s="2" t="s">
        <v>180</v>
      </c>
      <c r="D299" s="2">
        <v>81319101</v>
      </c>
      <c r="E299" s="2">
        <v>52041401</v>
      </c>
      <c r="F299" s="2"/>
      <c r="G299" s="5">
        <v>0</v>
      </c>
      <c r="H299" s="5">
        <v>214072.71000000002</v>
      </c>
      <c r="I299" s="5">
        <v>24857.9</v>
      </c>
      <c r="J299" s="5">
        <v>0</v>
      </c>
      <c r="K299" s="5">
        <v>0</v>
      </c>
      <c r="L299" s="5">
        <v>0</v>
      </c>
      <c r="M299" s="5">
        <v>0</v>
      </c>
      <c r="N299" s="6"/>
      <c r="O299" s="6">
        <f t="shared" si="9"/>
        <v>238930.61000000002</v>
      </c>
      <c r="P299" s="6">
        <f t="shared" si="10"/>
        <v>-238930.61000000002</v>
      </c>
    </row>
    <row r="300" spans="2:16" x14ac:dyDescent="0.35">
      <c r="B300" t="s">
        <v>179</v>
      </c>
      <c r="C300" s="2" t="s">
        <v>6</v>
      </c>
      <c r="D300">
        <v>81319101</v>
      </c>
      <c r="E300">
        <v>52111101</v>
      </c>
      <c r="G300" s="5">
        <v>6792.4900000000007</v>
      </c>
      <c r="H300" s="5">
        <v>0.01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6"/>
      <c r="O300" s="6">
        <f t="shared" si="9"/>
        <v>6792.5000000000009</v>
      </c>
      <c r="P300" s="6">
        <f t="shared" si="10"/>
        <v>-6792.5000000000009</v>
      </c>
    </row>
    <row r="301" spans="2:16" x14ac:dyDescent="0.35">
      <c r="B301" s="2" t="s">
        <v>180</v>
      </c>
      <c r="C301" s="2" t="s">
        <v>180</v>
      </c>
      <c r="D301">
        <v>81319101</v>
      </c>
      <c r="E301">
        <v>52041401</v>
      </c>
      <c r="G301" s="5">
        <v>53188.189999999995</v>
      </c>
      <c r="H301" s="5">
        <v>48040.87</v>
      </c>
      <c r="I301" s="5">
        <v>51995.779999999992</v>
      </c>
      <c r="J301" s="5">
        <v>25736.22</v>
      </c>
      <c r="K301" s="5">
        <v>50811.880000000005</v>
      </c>
      <c r="L301" s="5">
        <v>51072.100000000006</v>
      </c>
      <c r="M301" s="5">
        <v>25736.22</v>
      </c>
      <c r="N301" s="6"/>
      <c r="O301" s="6">
        <f t="shared" si="9"/>
        <v>306581.26</v>
      </c>
      <c r="P301" s="6">
        <f t="shared" si="10"/>
        <v>-306581.26</v>
      </c>
    </row>
    <row r="302" spans="2:16" x14ac:dyDescent="0.35">
      <c r="B302" s="2" t="s">
        <v>180</v>
      </c>
      <c r="C302" s="2" t="s">
        <v>180</v>
      </c>
      <c r="D302">
        <v>81319101</v>
      </c>
      <c r="E302">
        <v>52041401</v>
      </c>
      <c r="G302" s="5">
        <v>159234.43</v>
      </c>
      <c r="H302" s="5">
        <v>159234.43</v>
      </c>
      <c r="I302" s="5">
        <v>159234.43</v>
      </c>
      <c r="J302" s="5">
        <v>159234.43</v>
      </c>
      <c r="K302" s="5">
        <v>159234.43</v>
      </c>
      <c r="L302" s="5">
        <v>159234.43</v>
      </c>
      <c r="M302" s="5">
        <v>146582.92000000001</v>
      </c>
      <c r="N302" s="6"/>
      <c r="O302" s="6">
        <f t="shared" si="9"/>
        <v>1101989.4999999998</v>
      </c>
      <c r="P302" s="6">
        <f t="shared" si="10"/>
        <v>-1101989.4999999998</v>
      </c>
    </row>
    <row r="303" spans="2:16" x14ac:dyDescent="0.35">
      <c r="B303" s="2" t="s">
        <v>180</v>
      </c>
      <c r="C303" s="2" t="s">
        <v>180</v>
      </c>
      <c r="D303" s="2">
        <v>81123102</v>
      </c>
      <c r="E303" s="2">
        <v>52041401</v>
      </c>
      <c r="F303" s="2"/>
      <c r="G303" s="5">
        <v>0</v>
      </c>
      <c r="H303" s="5">
        <v>0</v>
      </c>
      <c r="I303" s="5">
        <v>-25736.219999999994</v>
      </c>
      <c r="J303" s="5">
        <v>0</v>
      </c>
      <c r="K303" s="5">
        <v>0</v>
      </c>
      <c r="L303" s="5">
        <v>0</v>
      </c>
      <c r="M303" s="5">
        <v>0</v>
      </c>
      <c r="N303" s="6"/>
      <c r="O303" s="6">
        <f t="shared" si="9"/>
        <v>-25736.219999999994</v>
      </c>
      <c r="P303" s="6">
        <f t="shared" si="10"/>
        <v>25736.219999999994</v>
      </c>
    </row>
    <row r="304" spans="2:16" x14ac:dyDescent="0.35">
      <c r="B304" t="s">
        <v>179</v>
      </c>
      <c r="C304" s="2" t="s">
        <v>6</v>
      </c>
      <c r="D304">
        <v>81319101</v>
      </c>
      <c r="E304">
        <v>52111101</v>
      </c>
      <c r="G304" s="5">
        <v>11164.29</v>
      </c>
      <c r="H304" s="5">
        <v>9384.7099999999991</v>
      </c>
      <c r="I304" s="5">
        <v>25892.86</v>
      </c>
      <c r="J304" s="5">
        <v>26833.48</v>
      </c>
      <c r="K304" s="5">
        <v>6500</v>
      </c>
      <c r="L304" s="5">
        <v>57142.859999999993</v>
      </c>
      <c r="M304" s="5">
        <v>8839.2900000000009</v>
      </c>
      <c r="N304" s="6"/>
      <c r="O304" s="6">
        <f t="shared" si="9"/>
        <v>145757.49</v>
      </c>
      <c r="P304" s="6">
        <f t="shared" si="10"/>
        <v>-145757.49</v>
      </c>
    </row>
    <row r="305" spans="2:16" x14ac:dyDescent="0.35">
      <c r="B305" t="s">
        <v>179</v>
      </c>
      <c r="C305" s="2" t="s">
        <v>6</v>
      </c>
      <c r="D305">
        <v>81319101</v>
      </c>
      <c r="E305">
        <v>52111101</v>
      </c>
      <c r="G305" s="5">
        <v>19420.47</v>
      </c>
      <c r="H305" s="5">
        <v>2142.86</v>
      </c>
      <c r="I305" s="5">
        <v>51431.970000000008</v>
      </c>
      <c r="J305" s="5">
        <v>48240.18</v>
      </c>
      <c r="K305" s="5">
        <v>295.31</v>
      </c>
      <c r="L305" s="5">
        <v>0</v>
      </c>
      <c r="M305" s="5">
        <v>53292.09</v>
      </c>
      <c r="N305" s="6"/>
      <c r="O305" s="6">
        <f t="shared" si="9"/>
        <v>174822.88</v>
      </c>
      <c r="P305" s="6">
        <f t="shared" si="10"/>
        <v>-174822.88</v>
      </c>
    </row>
    <row r="306" spans="2:16" x14ac:dyDescent="0.35">
      <c r="B306" t="s">
        <v>181</v>
      </c>
      <c r="C306" s="2" t="s">
        <v>9</v>
      </c>
      <c r="D306">
        <v>81319101</v>
      </c>
      <c r="E306">
        <v>52111102</v>
      </c>
      <c r="G306" s="5"/>
      <c r="H306" s="5"/>
      <c r="I306" s="5">
        <v>9821.43</v>
      </c>
      <c r="J306" s="5">
        <v>1694.64</v>
      </c>
      <c r="K306" s="5">
        <v>0</v>
      </c>
      <c r="L306" s="5">
        <v>0</v>
      </c>
      <c r="M306" s="5">
        <v>0</v>
      </c>
      <c r="N306" s="6"/>
      <c r="O306" s="6">
        <f t="shared" si="9"/>
        <v>11516.07</v>
      </c>
      <c r="P306" s="6">
        <f t="shared" si="10"/>
        <v>-11516.07</v>
      </c>
    </row>
    <row r="307" spans="2:16" x14ac:dyDescent="0.35">
      <c r="B307" t="s">
        <v>179</v>
      </c>
      <c r="C307" s="2" t="s">
        <v>6</v>
      </c>
      <c r="D307">
        <v>81319101</v>
      </c>
      <c r="E307">
        <v>52111101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6"/>
      <c r="O307" s="6">
        <f t="shared" si="9"/>
        <v>0</v>
      </c>
      <c r="P307" s="6">
        <f t="shared" si="10"/>
        <v>0</v>
      </c>
    </row>
    <row r="308" spans="2:16" x14ac:dyDescent="0.35">
      <c r="B308" t="s">
        <v>182</v>
      </c>
      <c r="C308" s="2" t="s">
        <v>20</v>
      </c>
      <c r="D308">
        <v>81319101</v>
      </c>
      <c r="E308">
        <v>52061103</v>
      </c>
      <c r="G308" s="5">
        <v>22409.16</v>
      </c>
      <c r="H308" s="5">
        <v>0</v>
      </c>
      <c r="I308" s="5">
        <v>803.57</v>
      </c>
      <c r="J308" s="5">
        <v>6785.71</v>
      </c>
      <c r="K308" s="5">
        <v>0</v>
      </c>
      <c r="L308" s="5">
        <v>20153.57</v>
      </c>
      <c r="M308" s="5">
        <v>12500</v>
      </c>
      <c r="N308" s="6"/>
      <c r="O308" s="6">
        <f t="shared" si="9"/>
        <v>62652.009999999995</v>
      </c>
      <c r="P308" s="6">
        <f t="shared" si="10"/>
        <v>-62652.009999999995</v>
      </c>
    </row>
    <row r="309" spans="2:16" x14ac:dyDescent="0.35">
      <c r="B309" t="s">
        <v>182</v>
      </c>
      <c r="C309" s="2" t="s">
        <v>21</v>
      </c>
      <c r="D309">
        <v>81319101</v>
      </c>
      <c r="E309">
        <v>52061101</v>
      </c>
      <c r="G309" s="5">
        <v>0</v>
      </c>
      <c r="H309" s="5">
        <v>0</v>
      </c>
      <c r="I309" s="5">
        <v>0</v>
      </c>
      <c r="J309" s="5">
        <v>5133.93</v>
      </c>
      <c r="K309" s="5">
        <v>0</v>
      </c>
      <c r="L309" s="5">
        <v>0</v>
      </c>
      <c r="M309" s="5">
        <v>0</v>
      </c>
      <c r="N309" s="6"/>
      <c r="O309" s="6">
        <f t="shared" si="9"/>
        <v>5133.93</v>
      </c>
      <c r="P309" s="6">
        <f t="shared" si="10"/>
        <v>-5133.93</v>
      </c>
    </row>
    <row r="310" spans="2:16" x14ac:dyDescent="0.35">
      <c r="B310" t="s">
        <v>182</v>
      </c>
      <c r="C310" s="2" t="s">
        <v>23</v>
      </c>
      <c r="D310">
        <v>81319101</v>
      </c>
      <c r="E310">
        <v>52061105</v>
      </c>
      <c r="G310" s="5"/>
      <c r="H310" s="5"/>
      <c r="I310" s="5">
        <v>28545.09</v>
      </c>
      <c r="J310" s="5">
        <v>0</v>
      </c>
      <c r="K310" s="5">
        <v>0</v>
      </c>
      <c r="L310" s="5">
        <v>10482.73</v>
      </c>
      <c r="M310" s="5">
        <v>0</v>
      </c>
      <c r="N310" s="6"/>
      <c r="O310" s="6">
        <f t="shared" si="9"/>
        <v>39027.82</v>
      </c>
      <c r="P310" s="6">
        <f t="shared" si="10"/>
        <v>-39027.82</v>
      </c>
    </row>
    <row r="311" spans="2:16" x14ac:dyDescent="0.35">
      <c r="B311" t="s">
        <v>182</v>
      </c>
      <c r="C311" s="2" t="s">
        <v>21</v>
      </c>
      <c r="D311">
        <v>81319101</v>
      </c>
      <c r="E311">
        <v>52061101</v>
      </c>
      <c r="G311" s="5">
        <v>0</v>
      </c>
      <c r="H311" s="5">
        <v>-1061.94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6"/>
      <c r="O311" s="6">
        <f t="shared" si="9"/>
        <v>-1061.94</v>
      </c>
      <c r="P311" s="6">
        <f t="shared" si="10"/>
        <v>1061.94</v>
      </c>
    </row>
    <row r="312" spans="2:16" x14ac:dyDescent="0.35">
      <c r="B312" t="s">
        <v>182</v>
      </c>
      <c r="C312" s="2" t="s">
        <v>23</v>
      </c>
      <c r="D312">
        <v>81319101</v>
      </c>
      <c r="E312">
        <v>52061105</v>
      </c>
      <c r="G312" s="5">
        <v>0</v>
      </c>
      <c r="H312" s="5">
        <v>6450</v>
      </c>
      <c r="I312" s="5">
        <v>12350</v>
      </c>
      <c r="J312" s="5">
        <v>0</v>
      </c>
      <c r="K312" s="5">
        <v>-2.9200000000000728</v>
      </c>
      <c r="L312" s="5">
        <v>0</v>
      </c>
      <c r="M312" s="5">
        <v>5250</v>
      </c>
      <c r="N312" s="6"/>
      <c r="O312" s="6">
        <f t="shared" si="9"/>
        <v>24047.08</v>
      </c>
      <c r="P312" s="6">
        <f t="shared" si="10"/>
        <v>-24047.08</v>
      </c>
    </row>
    <row r="313" spans="2:16" x14ac:dyDescent="0.35">
      <c r="B313" t="s">
        <v>182</v>
      </c>
      <c r="C313" s="2" t="s">
        <v>21</v>
      </c>
      <c r="D313">
        <v>81319101</v>
      </c>
      <c r="E313">
        <v>52061101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6"/>
      <c r="O313" s="6">
        <f t="shared" si="9"/>
        <v>0</v>
      </c>
      <c r="P313" s="6">
        <f t="shared" si="10"/>
        <v>0</v>
      </c>
    </row>
    <row r="314" spans="2:16" x14ac:dyDescent="0.35">
      <c r="B314" t="e">
        <v>#N/A</v>
      </c>
      <c r="C314" s="2" t="s">
        <v>137</v>
      </c>
      <c r="D314">
        <v>80111101</v>
      </c>
      <c r="E314">
        <v>52031101</v>
      </c>
      <c r="G314" s="5">
        <v>26000</v>
      </c>
      <c r="H314" s="5">
        <v>0</v>
      </c>
      <c r="I314" s="5">
        <v>12282</v>
      </c>
      <c r="J314" s="5">
        <v>0</v>
      </c>
      <c r="K314" s="5">
        <v>0</v>
      </c>
      <c r="L314" s="5">
        <v>2300</v>
      </c>
      <c r="M314" s="5">
        <v>0</v>
      </c>
      <c r="N314" s="6"/>
      <c r="O314" s="6">
        <f t="shared" si="9"/>
        <v>40582</v>
      </c>
      <c r="P314" s="6">
        <f t="shared" si="10"/>
        <v>-40582</v>
      </c>
    </row>
    <row r="315" spans="2:16" x14ac:dyDescent="0.35">
      <c r="B315" t="e">
        <v>#N/A</v>
      </c>
      <c r="C315" s="2" t="s">
        <v>137</v>
      </c>
      <c r="D315">
        <v>81111101</v>
      </c>
      <c r="E315">
        <v>52031101</v>
      </c>
      <c r="G315" s="5">
        <v>30021.119999999999</v>
      </c>
      <c r="H315" s="5">
        <v>4021.12</v>
      </c>
      <c r="I315" s="5">
        <v>44371.12</v>
      </c>
      <c r="J315" s="5">
        <v>4021.12</v>
      </c>
      <c r="K315" s="5">
        <v>4021.12</v>
      </c>
      <c r="L315" s="5">
        <v>9321.119999999999</v>
      </c>
      <c r="M315" s="5">
        <v>16000</v>
      </c>
      <c r="N315" s="6"/>
      <c r="O315" s="6">
        <f t="shared" si="9"/>
        <v>111776.71999999999</v>
      </c>
      <c r="P315" s="6">
        <f t="shared" si="10"/>
        <v>-111776.71999999999</v>
      </c>
    </row>
    <row r="316" spans="2:16" x14ac:dyDescent="0.35">
      <c r="B316" t="e">
        <v>#N/A</v>
      </c>
      <c r="C316" s="2" t="s">
        <v>137</v>
      </c>
      <c r="D316">
        <v>90111101</v>
      </c>
      <c r="E316">
        <v>52031101</v>
      </c>
      <c r="G316" s="5">
        <v>434700.47999999992</v>
      </c>
      <c r="H316" s="5">
        <v>374398.32999999996</v>
      </c>
      <c r="I316" s="5">
        <v>374398.32999999996</v>
      </c>
      <c r="J316" s="5">
        <v>374398.31999999995</v>
      </c>
      <c r="K316" s="5">
        <v>374398.32999999996</v>
      </c>
      <c r="L316" s="5">
        <v>374398.33000000007</v>
      </c>
      <c r="M316" s="5">
        <v>374398.32999999996</v>
      </c>
      <c r="N316" s="6"/>
      <c r="O316" s="6">
        <f t="shared" si="9"/>
        <v>2681090.4499999997</v>
      </c>
      <c r="P316" s="6">
        <f t="shared" si="10"/>
        <v>-2681090.4499999997</v>
      </c>
    </row>
    <row r="317" spans="2:16" x14ac:dyDescent="0.35">
      <c r="B317" t="e">
        <v>#N/A</v>
      </c>
      <c r="C317" s="2" t="s">
        <v>183</v>
      </c>
      <c r="D317">
        <v>80111101</v>
      </c>
      <c r="E317">
        <v>52031103</v>
      </c>
      <c r="G317" s="5">
        <v>0</v>
      </c>
      <c r="H317" s="5">
        <v>0</v>
      </c>
      <c r="I317" s="5">
        <v>114417.41</v>
      </c>
      <c r="J317" s="5">
        <v>114351.49</v>
      </c>
      <c r="K317" s="5">
        <v>0</v>
      </c>
      <c r="L317" s="5">
        <v>0</v>
      </c>
      <c r="M317" s="5">
        <v>0</v>
      </c>
      <c r="N317" s="6"/>
      <c r="O317" s="6">
        <f t="shared" si="9"/>
        <v>228768.90000000002</v>
      </c>
      <c r="P317" s="6">
        <f t="shared" si="10"/>
        <v>-228768.90000000002</v>
      </c>
    </row>
    <row r="318" spans="2:16" x14ac:dyDescent="0.35">
      <c r="B318" t="e">
        <v>#N/A</v>
      </c>
      <c r="C318" s="2" t="s">
        <v>183</v>
      </c>
      <c r="D318">
        <v>81111101</v>
      </c>
      <c r="E318">
        <v>52031103</v>
      </c>
      <c r="G318" s="5">
        <v>0</v>
      </c>
      <c r="H318" s="5">
        <v>330</v>
      </c>
      <c r="I318" s="5">
        <v>330</v>
      </c>
      <c r="J318" s="5">
        <v>0</v>
      </c>
      <c r="K318" s="5">
        <v>0</v>
      </c>
      <c r="L318" s="5">
        <v>23401.9</v>
      </c>
      <c r="M318" s="5">
        <v>270</v>
      </c>
      <c r="N318" s="6"/>
      <c r="O318" s="6">
        <f t="shared" si="9"/>
        <v>24331.9</v>
      </c>
      <c r="P318" s="6">
        <f t="shared" si="10"/>
        <v>-24331.9</v>
      </c>
    </row>
    <row r="319" spans="2:16" x14ac:dyDescent="0.35">
      <c r="B319" t="e">
        <v>#N/A</v>
      </c>
      <c r="C319" s="2" t="s">
        <v>183</v>
      </c>
      <c r="D319">
        <v>90111101</v>
      </c>
      <c r="E319">
        <v>61031101</v>
      </c>
      <c r="G319" s="5">
        <v>0</v>
      </c>
      <c r="H319" s="5">
        <v>0</v>
      </c>
      <c r="I319" s="5">
        <v>180</v>
      </c>
      <c r="J319" s="5">
        <v>90</v>
      </c>
      <c r="K319" s="5">
        <v>180</v>
      </c>
      <c r="L319" s="5">
        <v>120</v>
      </c>
      <c r="M319" s="5">
        <v>150</v>
      </c>
      <c r="N319" s="6"/>
      <c r="O319" s="6">
        <f t="shared" si="9"/>
        <v>720</v>
      </c>
      <c r="P319" s="6">
        <f t="shared" si="10"/>
        <v>-720</v>
      </c>
    </row>
    <row r="320" spans="2:16" x14ac:dyDescent="0.35">
      <c r="B320" t="s">
        <v>184</v>
      </c>
      <c r="C320" s="2" t="s">
        <v>185</v>
      </c>
      <c r="D320">
        <v>81111101</v>
      </c>
      <c r="E320">
        <v>52121101</v>
      </c>
      <c r="G320" s="5">
        <v>3311803.4299999997</v>
      </c>
      <c r="H320" s="5">
        <v>3333124.5500000003</v>
      </c>
      <c r="I320" s="5">
        <v>3351038.2600000007</v>
      </c>
      <c r="J320" s="5">
        <v>4200905.1000000015</v>
      </c>
      <c r="K320" s="5">
        <v>3471452.9100000006</v>
      </c>
      <c r="L320" s="5">
        <v>3592320.3800000008</v>
      </c>
      <c r="M320" s="5">
        <v>3333240.12</v>
      </c>
      <c r="N320" s="6"/>
      <c r="O320" s="6">
        <f t="shared" si="9"/>
        <v>24593884.750000004</v>
      </c>
      <c r="P320" s="6">
        <f t="shared" si="10"/>
        <v>-24593884.750000004</v>
      </c>
    </row>
    <row r="321" spans="2:16" x14ac:dyDescent="0.35">
      <c r="B321" t="s">
        <v>184</v>
      </c>
      <c r="C321" s="2" t="s">
        <v>186</v>
      </c>
      <c r="D321">
        <v>81111101</v>
      </c>
      <c r="E321">
        <v>52121104</v>
      </c>
      <c r="G321" s="5">
        <v>0</v>
      </c>
      <c r="H321" s="5">
        <v>0</v>
      </c>
      <c r="I321" s="5">
        <v>5350</v>
      </c>
      <c r="J321" s="5">
        <v>2204516</v>
      </c>
      <c r="K321" s="5">
        <v>0</v>
      </c>
      <c r="L321" s="5">
        <v>53700</v>
      </c>
      <c r="M321" s="5">
        <v>0</v>
      </c>
      <c r="N321" s="6"/>
      <c r="O321" s="6">
        <f t="shared" si="9"/>
        <v>2263566</v>
      </c>
      <c r="P321" s="6">
        <f t="shared" si="10"/>
        <v>-2263566</v>
      </c>
    </row>
    <row r="322" spans="2:16" x14ac:dyDescent="0.35">
      <c r="B322" t="s">
        <v>101</v>
      </c>
      <c r="C322" s="2" t="s">
        <v>187</v>
      </c>
      <c r="D322">
        <v>81111101</v>
      </c>
      <c r="E322">
        <v>52121106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-10380.92</v>
      </c>
      <c r="M322" s="5">
        <v>0</v>
      </c>
      <c r="N322" s="6"/>
      <c r="O322" s="6">
        <f t="shared" si="9"/>
        <v>-10380.92</v>
      </c>
      <c r="P322" s="6">
        <f t="shared" si="10"/>
        <v>10380.92</v>
      </c>
    </row>
    <row r="323" spans="2:16" x14ac:dyDescent="0.35">
      <c r="B323" t="s">
        <v>101</v>
      </c>
      <c r="C323" s="2" t="s">
        <v>188</v>
      </c>
      <c r="D323">
        <v>81111101</v>
      </c>
      <c r="E323">
        <v>52121102</v>
      </c>
      <c r="G323" s="5">
        <v>115912.66</v>
      </c>
      <c r="H323" s="5">
        <v>57523.67</v>
      </c>
      <c r="I323" s="5">
        <v>51297.390000000007</v>
      </c>
      <c r="J323" s="5">
        <v>205505.6</v>
      </c>
      <c r="K323" s="5">
        <v>49909.46</v>
      </c>
      <c r="L323" s="5">
        <v>92957.450000000012</v>
      </c>
      <c r="M323" s="5">
        <v>45481.29</v>
      </c>
      <c r="N323" s="6"/>
      <c r="O323" s="6">
        <f t="shared" si="9"/>
        <v>618587.52000000014</v>
      </c>
      <c r="P323" s="6">
        <f t="shared" si="10"/>
        <v>-618587.52000000014</v>
      </c>
    </row>
    <row r="324" spans="2:16" x14ac:dyDescent="0.35">
      <c r="B324" t="s">
        <v>101</v>
      </c>
      <c r="C324" s="2" t="s">
        <v>188</v>
      </c>
      <c r="D324">
        <v>81111101</v>
      </c>
      <c r="E324">
        <v>52121103</v>
      </c>
      <c r="G324" s="5">
        <v>24200</v>
      </c>
      <c r="H324" s="5">
        <v>58200</v>
      </c>
      <c r="I324" s="5">
        <v>48200</v>
      </c>
      <c r="J324" s="5">
        <v>55400</v>
      </c>
      <c r="K324" s="5">
        <v>46400</v>
      </c>
      <c r="L324" s="5">
        <v>57400</v>
      </c>
      <c r="M324" s="5">
        <v>65800</v>
      </c>
      <c r="N324" s="6"/>
      <c r="O324" s="6">
        <f t="shared" ref="O324:O387" si="11">SUM(G324:N324)</f>
        <v>355600</v>
      </c>
      <c r="P324" s="6">
        <f t="shared" ref="P324:P387" si="12">F324-O324</f>
        <v>-355600</v>
      </c>
    </row>
    <row r="325" spans="2:16" x14ac:dyDescent="0.35">
      <c r="B325" t="s">
        <v>189</v>
      </c>
      <c r="C325" s="2" t="s">
        <v>190</v>
      </c>
      <c r="D325">
        <v>81111101</v>
      </c>
      <c r="E325">
        <v>52121305</v>
      </c>
      <c r="G325" s="5">
        <v>256630</v>
      </c>
      <c r="H325" s="5">
        <v>253400</v>
      </c>
      <c r="I325" s="5">
        <v>256010</v>
      </c>
      <c r="J325" s="5">
        <v>302030</v>
      </c>
      <c r="K325" s="5">
        <v>262280</v>
      </c>
      <c r="L325" s="5">
        <v>287110</v>
      </c>
      <c r="M325" s="5">
        <v>258330</v>
      </c>
      <c r="N325" s="6"/>
      <c r="O325" s="6">
        <f t="shared" si="11"/>
        <v>1875790</v>
      </c>
      <c r="P325" s="6">
        <f t="shared" si="12"/>
        <v>-1875790</v>
      </c>
    </row>
    <row r="326" spans="2:16" x14ac:dyDescent="0.35">
      <c r="B326" t="s">
        <v>191</v>
      </c>
      <c r="C326" s="2" t="s">
        <v>192</v>
      </c>
      <c r="D326">
        <v>81111101</v>
      </c>
      <c r="E326">
        <v>52121305</v>
      </c>
      <c r="G326" s="5">
        <v>17200</v>
      </c>
      <c r="H326" s="5">
        <v>17000</v>
      </c>
      <c r="I326" s="5">
        <v>17200</v>
      </c>
      <c r="J326" s="5">
        <v>17200</v>
      </c>
      <c r="K326" s="5">
        <v>17400</v>
      </c>
      <c r="L326" s="5">
        <v>17400</v>
      </c>
      <c r="M326" s="5">
        <v>17000</v>
      </c>
      <c r="N326" s="6"/>
      <c r="O326" s="6">
        <f t="shared" si="11"/>
        <v>120400</v>
      </c>
      <c r="P326" s="6">
        <f t="shared" si="12"/>
        <v>-120400</v>
      </c>
    </row>
    <row r="327" spans="2:16" x14ac:dyDescent="0.35">
      <c r="B327" t="s">
        <v>193</v>
      </c>
      <c r="C327" s="2" t="s">
        <v>194</v>
      </c>
      <c r="D327">
        <v>81111101</v>
      </c>
      <c r="E327">
        <v>52121305</v>
      </c>
      <c r="G327" s="5">
        <v>81785</v>
      </c>
      <c r="H327" s="5">
        <v>80982.5</v>
      </c>
      <c r="I327" s="5">
        <v>81457.5</v>
      </c>
      <c r="J327" s="5">
        <v>86610</v>
      </c>
      <c r="K327" s="5">
        <v>86810</v>
      </c>
      <c r="L327" s="5">
        <v>86810</v>
      </c>
      <c r="M327" s="5">
        <v>82705</v>
      </c>
      <c r="N327" s="6"/>
      <c r="O327" s="6">
        <f t="shared" si="11"/>
        <v>587160</v>
      </c>
      <c r="P327" s="6">
        <f t="shared" si="12"/>
        <v>-587160</v>
      </c>
    </row>
    <row r="328" spans="2:16" x14ac:dyDescent="0.35">
      <c r="B328" t="s">
        <v>101</v>
      </c>
      <c r="C328" s="2" t="s">
        <v>195</v>
      </c>
      <c r="D328">
        <v>81111101</v>
      </c>
      <c r="E328">
        <v>52121308</v>
      </c>
      <c r="G328" s="5">
        <v>30000</v>
      </c>
      <c r="H328" s="5">
        <v>30000</v>
      </c>
      <c r="I328" s="5">
        <v>30000</v>
      </c>
      <c r="J328" s="5">
        <v>50000</v>
      </c>
      <c r="K328" s="5">
        <v>35000</v>
      </c>
      <c r="L328" s="5">
        <v>35000</v>
      </c>
      <c r="M328" s="5">
        <v>35000</v>
      </c>
      <c r="N328" s="6"/>
      <c r="O328" s="6">
        <f t="shared" si="11"/>
        <v>245000</v>
      </c>
      <c r="P328" s="6">
        <f t="shared" si="12"/>
        <v>-245000</v>
      </c>
    </row>
    <row r="329" spans="2:16" x14ac:dyDescent="0.35">
      <c r="B329" t="s">
        <v>101</v>
      </c>
      <c r="C329" s="2" t="s">
        <v>196</v>
      </c>
      <c r="D329">
        <v>81111101</v>
      </c>
      <c r="E329">
        <v>52121302</v>
      </c>
      <c r="G329" s="5">
        <v>0</v>
      </c>
      <c r="H329" s="5">
        <v>0</v>
      </c>
      <c r="I329" s="6"/>
      <c r="J329" s="5">
        <v>0</v>
      </c>
      <c r="K329" s="6"/>
      <c r="L329" s="5">
        <v>0</v>
      </c>
      <c r="M329" s="5">
        <v>0</v>
      </c>
      <c r="N329" s="6"/>
      <c r="O329" s="6">
        <f t="shared" si="11"/>
        <v>0</v>
      </c>
      <c r="P329" s="6">
        <f t="shared" si="12"/>
        <v>0</v>
      </c>
    </row>
    <row r="330" spans="2:16" x14ac:dyDescent="0.35">
      <c r="B330" t="s">
        <v>101</v>
      </c>
      <c r="C330" s="2" t="s">
        <v>197</v>
      </c>
      <c r="D330">
        <v>81111101</v>
      </c>
      <c r="E330">
        <v>52121306</v>
      </c>
      <c r="G330" s="5">
        <v>0</v>
      </c>
      <c r="H330" s="5">
        <v>0</v>
      </c>
      <c r="I330" s="5">
        <v>0</v>
      </c>
      <c r="J330" s="5">
        <v>0</v>
      </c>
      <c r="K330" s="6"/>
      <c r="L330" s="5">
        <v>293540</v>
      </c>
      <c r="M330" s="5">
        <v>0</v>
      </c>
      <c r="N330" s="6"/>
      <c r="O330" s="6">
        <f t="shared" si="11"/>
        <v>293540</v>
      </c>
      <c r="P330" s="6">
        <f t="shared" si="12"/>
        <v>-293540</v>
      </c>
    </row>
    <row r="331" spans="2:16" x14ac:dyDescent="0.35">
      <c r="B331" t="s">
        <v>101</v>
      </c>
      <c r="C331" s="2" t="s">
        <v>198</v>
      </c>
      <c r="D331">
        <v>81111101</v>
      </c>
      <c r="E331">
        <v>52121301</v>
      </c>
      <c r="G331" s="5">
        <v>12604.3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6"/>
      <c r="O331" s="6">
        <f t="shared" si="11"/>
        <v>12604.3</v>
      </c>
      <c r="P331" s="6">
        <f t="shared" si="12"/>
        <v>-12604.3</v>
      </c>
    </row>
    <row r="332" spans="2:16" x14ac:dyDescent="0.35">
      <c r="B332" t="s">
        <v>101</v>
      </c>
      <c r="C332" s="2" t="s">
        <v>199</v>
      </c>
      <c r="D332">
        <v>81111101</v>
      </c>
      <c r="E332">
        <v>52121301</v>
      </c>
      <c r="G332" s="5">
        <v>6240</v>
      </c>
      <c r="H332" s="5">
        <v>6240</v>
      </c>
      <c r="I332" s="5">
        <v>12337.5</v>
      </c>
      <c r="J332" s="5">
        <v>8272.5</v>
      </c>
      <c r="K332" s="5">
        <v>8272.5</v>
      </c>
      <c r="L332" s="5">
        <v>8272.5</v>
      </c>
      <c r="M332" s="5">
        <v>8272.5</v>
      </c>
      <c r="N332" s="6"/>
      <c r="O332" s="6">
        <f t="shared" si="11"/>
        <v>57907.5</v>
      </c>
      <c r="P332" s="6">
        <f t="shared" si="12"/>
        <v>-57907.5</v>
      </c>
    </row>
    <row r="333" spans="2:16" x14ac:dyDescent="0.35">
      <c r="B333" t="s">
        <v>101</v>
      </c>
      <c r="C333" s="2" t="s">
        <v>200</v>
      </c>
      <c r="D333">
        <v>81111101</v>
      </c>
      <c r="E333">
        <v>52121303</v>
      </c>
      <c r="G333" s="5"/>
      <c r="H333" s="5"/>
      <c r="I333" s="5"/>
      <c r="J333" s="5">
        <v>0</v>
      </c>
      <c r="K333" s="6"/>
      <c r="L333" s="5">
        <v>0</v>
      </c>
      <c r="M333" s="5">
        <v>0</v>
      </c>
      <c r="N333" s="6"/>
      <c r="O333" s="6">
        <f t="shared" si="11"/>
        <v>0</v>
      </c>
      <c r="P333" s="6">
        <f t="shared" si="12"/>
        <v>0</v>
      </c>
    </row>
    <row r="334" spans="2:16" x14ac:dyDescent="0.35">
      <c r="B334" t="s">
        <v>101</v>
      </c>
      <c r="C334" s="2" t="s">
        <v>201</v>
      </c>
      <c r="D334">
        <v>81111101</v>
      </c>
      <c r="E334">
        <v>52121303</v>
      </c>
      <c r="G334" s="5">
        <v>185998.25</v>
      </c>
      <c r="H334" s="5">
        <v>185998.25</v>
      </c>
      <c r="I334" s="5">
        <v>185998.25</v>
      </c>
      <c r="J334" s="5">
        <v>185998.25</v>
      </c>
      <c r="K334" s="5">
        <v>546585.11999999988</v>
      </c>
      <c r="L334" s="5">
        <v>282386.47999999992</v>
      </c>
      <c r="M334" s="5">
        <v>259209.38</v>
      </c>
      <c r="N334" s="6"/>
      <c r="O334" s="6">
        <f t="shared" si="11"/>
        <v>1832173.98</v>
      </c>
      <c r="P334" s="6">
        <f t="shared" si="12"/>
        <v>-1832173.98</v>
      </c>
    </row>
    <row r="335" spans="2:16" x14ac:dyDescent="0.35">
      <c r="B335" t="s">
        <v>184</v>
      </c>
      <c r="C335" s="2" t="s">
        <v>185</v>
      </c>
      <c r="D335">
        <v>80111101</v>
      </c>
      <c r="E335">
        <v>61021102</v>
      </c>
      <c r="G335" s="5">
        <v>1945568.18</v>
      </c>
      <c r="H335" s="5">
        <v>1967943.2300000002</v>
      </c>
      <c r="I335" s="5">
        <v>1989801.22</v>
      </c>
      <c r="J335" s="5">
        <v>2462455.04</v>
      </c>
      <c r="K335" s="5">
        <v>2102319.79</v>
      </c>
      <c r="L335" s="5">
        <v>2137206.2999999993</v>
      </c>
      <c r="M335" s="5">
        <v>2061033.5</v>
      </c>
      <c r="N335" s="6"/>
      <c r="O335" s="6">
        <f t="shared" si="11"/>
        <v>14666327.26</v>
      </c>
      <c r="P335" s="6">
        <f t="shared" si="12"/>
        <v>-14666327.26</v>
      </c>
    </row>
    <row r="336" spans="2:16" x14ac:dyDescent="0.35">
      <c r="B336" t="s">
        <v>184</v>
      </c>
      <c r="C336" s="2" t="s">
        <v>186</v>
      </c>
      <c r="D336">
        <v>80111101</v>
      </c>
      <c r="E336">
        <v>61021105</v>
      </c>
      <c r="G336" s="5">
        <v>0</v>
      </c>
      <c r="H336" s="5">
        <v>0</v>
      </c>
      <c r="I336" s="5">
        <v>0</v>
      </c>
      <c r="J336" s="5">
        <v>1320203</v>
      </c>
      <c r="K336" s="5">
        <v>0</v>
      </c>
      <c r="L336" s="5">
        <v>6666.67</v>
      </c>
      <c r="M336" s="5">
        <v>0</v>
      </c>
      <c r="N336" s="6"/>
      <c r="O336" s="6">
        <f t="shared" si="11"/>
        <v>1326869.67</v>
      </c>
      <c r="P336" s="6">
        <f t="shared" si="12"/>
        <v>-1326869.67</v>
      </c>
    </row>
    <row r="337" spans="2:16" x14ac:dyDescent="0.35">
      <c r="B337" t="s">
        <v>101</v>
      </c>
      <c r="C337" s="2" t="s">
        <v>188</v>
      </c>
      <c r="D337">
        <v>80111101</v>
      </c>
      <c r="E337">
        <v>61021103</v>
      </c>
      <c r="G337" s="5">
        <v>45082.909999999996</v>
      </c>
      <c r="H337" s="5">
        <v>37057.440000000002</v>
      </c>
      <c r="I337" s="5">
        <v>40365.96</v>
      </c>
      <c r="J337" s="5">
        <v>40416.379999999997</v>
      </c>
      <c r="K337" s="5">
        <v>18507.22</v>
      </c>
      <c r="L337" s="5">
        <v>28178.28</v>
      </c>
      <c r="M337" s="5">
        <v>37074.490000000005</v>
      </c>
      <c r="N337" s="6"/>
      <c r="O337" s="6">
        <f t="shared" si="11"/>
        <v>246682.68</v>
      </c>
      <c r="P337" s="6">
        <f t="shared" si="12"/>
        <v>-246682.68</v>
      </c>
    </row>
    <row r="338" spans="2:16" x14ac:dyDescent="0.35">
      <c r="B338" t="s">
        <v>101</v>
      </c>
      <c r="C338" s="2" t="s">
        <v>188</v>
      </c>
      <c r="D338">
        <v>80111101</v>
      </c>
      <c r="E338">
        <v>61021104</v>
      </c>
      <c r="G338" s="5">
        <v>23400</v>
      </c>
      <c r="H338" s="5">
        <v>12600</v>
      </c>
      <c r="I338" s="5">
        <v>13800</v>
      </c>
      <c r="J338" s="5">
        <v>8200</v>
      </c>
      <c r="K338" s="5">
        <v>10968</v>
      </c>
      <c r="L338" s="5">
        <v>13200</v>
      </c>
      <c r="M338" s="5">
        <v>23400</v>
      </c>
      <c r="N338" s="6"/>
      <c r="O338" s="6">
        <f t="shared" si="11"/>
        <v>105568</v>
      </c>
      <c r="P338" s="6">
        <f t="shared" si="12"/>
        <v>-105568</v>
      </c>
    </row>
    <row r="339" spans="2:16" x14ac:dyDescent="0.35">
      <c r="B339" t="s">
        <v>189</v>
      </c>
      <c r="C339" s="2" t="s">
        <v>190</v>
      </c>
      <c r="D339">
        <v>80111101</v>
      </c>
      <c r="E339">
        <v>61021306</v>
      </c>
      <c r="G339" s="5">
        <v>171560</v>
      </c>
      <c r="H339" s="5">
        <v>179710</v>
      </c>
      <c r="I339" s="5">
        <v>188490</v>
      </c>
      <c r="J339" s="5">
        <v>215960</v>
      </c>
      <c r="K339" s="5">
        <v>192670</v>
      </c>
      <c r="L339" s="5">
        <v>204040</v>
      </c>
      <c r="M339" s="5">
        <v>188190</v>
      </c>
      <c r="N339" s="6"/>
      <c r="O339" s="6">
        <f t="shared" si="11"/>
        <v>1340620</v>
      </c>
      <c r="P339" s="6">
        <f t="shared" si="12"/>
        <v>-1340620</v>
      </c>
    </row>
    <row r="340" spans="2:16" x14ac:dyDescent="0.35">
      <c r="B340" t="s">
        <v>191</v>
      </c>
      <c r="C340" s="2" t="s">
        <v>192</v>
      </c>
      <c r="D340">
        <v>80111101</v>
      </c>
      <c r="E340">
        <v>61021306</v>
      </c>
      <c r="G340" s="5">
        <v>12000</v>
      </c>
      <c r="H340" s="5">
        <v>12200</v>
      </c>
      <c r="I340" s="5">
        <v>12600</v>
      </c>
      <c r="J340" s="5">
        <v>12400</v>
      </c>
      <c r="K340" s="5">
        <v>12600</v>
      </c>
      <c r="L340" s="5">
        <v>12600</v>
      </c>
      <c r="M340" s="5">
        <v>12800</v>
      </c>
      <c r="N340" s="6"/>
      <c r="O340" s="6">
        <f t="shared" si="11"/>
        <v>87200</v>
      </c>
      <c r="P340" s="6">
        <f t="shared" si="12"/>
        <v>-87200</v>
      </c>
    </row>
    <row r="341" spans="2:16" x14ac:dyDescent="0.35">
      <c r="B341" t="s">
        <v>193</v>
      </c>
      <c r="C341" s="2" t="s">
        <v>194</v>
      </c>
      <c r="D341">
        <v>80111101</v>
      </c>
      <c r="E341">
        <v>61021306</v>
      </c>
      <c r="G341" s="5">
        <v>55002.5</v>
      </c>
      <c r="H341" s="5">
        <v>55802.5</v>
      </c>
      <c r="I341" s="5">
        <v>57202.5</v>
      </c>
      <c r="J341" s="5">
        <v>59257.5</v>
      </c>
      <c r="K341" s="5">
        <v>59707.5</v>
      </c>
      <c r="L341" s="5">
        <v>59707.5</v>
      </c>
      <c r="M341" s="5">
        <v>60407.5</v>
      </c>
      <c r="N341" s="6"/>
      <c r="O341" s="6">
        <f t="shared" si="11"/>
        <v>407087.5</v>
      </c>
      <c r="P341" s="6">
        <f t="shared" si="12"/>
        <v>-407087.5</v>
      </c>
    </row>
    <row r="342" spans="2:16" x14ac:dyDescent="0.35">
      <c r="B342" t="s">
        <v>101</v>
      </c>
      <c r="C342" s="2" t="s">
        <v>195</v>
      </c>
      <c r="D342">
        <v>80111101</v>
      </c>
      <c r="E342">
        <v>61021309</v>
      </c>
      <c r="G342" s="5">
        <v>30000</v>
      </c>
      <c r="H342" s="5">
        <v>30000</v>
      </c>
      <c r="I342" s="5">
        <v>30000</v>
      </c>
      <c r="J342" s="5">
        <v>50000</v>
      </c>
      <c r="K342" s="5">
        <v>35000</v>
      </c>
      <c r="L342" s="5">
        <v>35000</v>
      </c>
      <c r="M342" s="5">
        <v>35000</v>
      </c>
      <c r="N342" s="6"/>
      <c r="O342" s="6">
        <f t="shared" si="11"/>
        <v>245000</v>
      </c>
      <c r="P342" s="6">
        <f t="shared" si="12"/>
        <v>-245000</v>
      </c>
    </row>
    <row r="343" spans="2:16" x14ac:dyDescent="0.35">
      <c r="B343" t="s">
        <v>101</v>
      </c>
      <c r="C343" s="2" t="s">
        <v>196</v>
      </c>
      <c r="D343">
        <v>80111101</v>
      </c>
      <c r="E343">
        <v>61021302</v>
      </c>
      <c r="G343" s="5">
        <v>0</v>
      </c>
      <c r="H343" s="5">
        <v>0</v>
      </c>
      <c r="I343" s="6"/>
      <c r="J343" s="5">
        <v>0</v>
      </c>
      <c r="K343" s="6"/>
      <c r="L343" s="5">
        <v>0</v>
      </c>
      <c r="M343" s="5">
        <v>0</v>
      </c>
      <c r="N343" s="6"/>
      <c r="O343" s="6">
        <f t="shared" si="11"/>
        <v>0</v>
      </c>
      <c r="P343" s="6">
        <f t="shared" si="12"/>
        <v>0</v>
      </c>
    </row>
    <row r="344" spans="2:16" x14ac:dyDescent="0.35">
      <c r="B344" t="s">
        <v>101</v>
      </c>
      <c r="C344" s="2" t="s">
        <v>197</v>
      </c>
      <c r="D344">
        <v>80111101</v>
      </c>
      <c r="E344">
        <v>61021307</v>
      </c>
      <c r="G344" s="5">
        <v>0</v>
      </c>
      <c r="H344" s="5">
        <v>0</v>
      </c>
      <c r="I344" s="5">
        <v>0</v>
      </c>
      <c r="J344" s="5">
        <v>0</v>
      </c>
      <c r="K344" s="6"/>
      <c r="L344" s="5">
        <v>190000</v>
      </c>
      <c r="M344" s="5">
        <v>0</v>
      </c>
      <c r="N344" s="6"/>
      <c r="O344" s="6">
        <f t="shared" si="11"/>
        <v>190000</v>
      </c>
      <c r="P344" s="6">
        <f t="shared" si="12"/>
        <v>-190000</v>
      </c>
    </row>
    <row r="345" spans="2:16" x14ac:dyDescent="0.35">
      <c r="B345" t="s">
        <v>101</v>
      </c>
      <c r="C345" s="2" t="s">
        <v>198</v>
      </c>
      <c r="D345">
        <v>80111101</v>
      </c>
      <c r="E345">
        <v>61021301</v>
      </c>
      <c r="G345" s="5">
        <v>7632.5700000000006</v>
      </c>
      <c r="H345" s="5">
        <v>0</v>
      </c>
      <c r="I345" s="5">
        <v>0</v>
      </c>
      <c r="J345" s="5">
        <v>0</v>
      </c>
      <c r="K345" s="5">
        <v>-674.61000000000013</v>
      </c>
      <c r="L345" s="5">
        <v>0</v>
      </c>
      <c r="M345" s="5">
        <v>0</v>
      </c>
      <c r="N345" s="6"/>
      <c r="O345" s="6">
        <f t="shared" si="11"/>
        <v>6957.9600000000009</v>
      </c>
      <c r="P345" s="6">
        <f t="shared" si="12"/>
        <v>-6957.9600000000009</v>
      </c>
    </row>
    <row r="346" spans="2:16" x14ac:dyDescent="0.35">
      <c r="B346" t="s">
        <v>101</v>
      </c>
      <c r="C346" s="2" t="s">
        <v>199</v>
      </c>
      <c r="D346">
        <v>80111101</v>
      </c>
      <c r="E346">
        <v>61021301</v>
      </c>
      <c r="G346" s="5">
        <v>0</v>
      </c>
      <c r="H346" s="5">
        <v>0</v>
      </c>
      <c r="I346" s="5">
        <v>14445</v>
      </c>
      <c r="J346" s="5">
        <v>8000</v>
      </c>
      <c r="K346" s="5">
        <v>4815</v>
      </c>
      <c r="L346" s="5">
        <v>4815</v>
      </c>
      <c r="M346" s="5">
        <v>4815</v>
      </c>
      <c r="N346" s="5"/>
      <c r="O346" s="6">
        <f t="shared" si="11"/>
        <v>36890</v>
      </c>
      <c r="P346" s="6">
        <f t="shared" si="12"/>
        <v>-36890</v>
      </c>
    </row>
    <row r="347" spans="2:16" x14ac:dyDescent="0.35">
      <c r="B347" t="s">
        <v>101</v>
      </c>
      <c r="C347" s="2" t="s">
        <v>200</v>
      </c>
      <c r="D347">
        <v>80111101</v>
      </c>
      <c r="E347">
        <v>61021303</v>
      </c>
      <c r="G347" s="5">
        <v>0</v>
      </c>
      <c r="H347" s="5">
        <v>0</v>
      </c>
      <c r="I347" s="5"/>
      <c r="J347" s="5">
        <v>0</v>
      </c>
      <c r="K347" s="6"/>
      <c r="L347" s="5">
        <v>0</v>
      </c>
      <c r="M347" s="5">
        <v>0</v>
      </c>
      <c r="N347" s="6"/>
      <c r="O347" s="6">
        <f t="shared" si="11"/>
        <v>0</v>
      </c>
      <c r="P347" s="6">
        <f t="shared" si="12"/>
        <v>0</v>
      </c>
    </row>
    <row r="348" spans="2:16" x14ac:dyDescent="0.35">
      <c r="B348" t="s">
        <v>101</v>
      </c>
      <c r="C348" s="2" t="s">
        <v>201</v>
      </c>
      <c r="D348">
        <v>80111101</v>
      </c>
      <c r="E348">
        <v>61021303</v>
      </c>
      <c r="G348" s="5">
        <v>138149.38</v>
      </c>
      <c r="H348" s="5">
        <v>138149.39000000001</v>
      </c>
      <c r="I348" s="5">
        <v>131914.25</v>
      </c>
      <c r="J348" s="5">
        <v>138149.39000000001</v>
      </c>
      <c r="K348" s="5">
        <v>138149.38</v>
      </c>
      <c r="L348" s="5">
        <v>138149.40999999992</v>
      </c>
      <c r="M348" s="5">
        <v>138149.38</v>
      </c>
      <c r="N348" s="6"/>
      <c r="O348" s="6">
        <f t="shared" si="11"/>
        <v>960810.58</v>
      </c>
      <c r="P348" s="6">
        <f t="shared" si="12"/>
        <v>-960810.58</v>
      </c>
    </row>
    <row r="349" spans="2:16" x14ac:dyDescent="0.35">
      <c r="B349" t="s">
        <v>184</v>
      </c>
      <c r="C349" s="2" t="s">
        <v>185</v>
      </c>
      <c r="D349">
        <v>90111101</v>
      </c>
      <c r="E349">
        <v>52121101</v>
      </c>
      <c r="G349" s="5">
        <v>16087334.160000004</v>
      </c>
      <c r="H349" s="5">
        <v>16619519.539999999</v>
      </c>
      <c r="I349" s="5">
        <v>16663458.709999997</v>
      </c>
      <c r="J349" s="5">
        <v>19851815.429999992</v>
      </c>
      <c r="K349" s="5">
        <v>17364548.219999995</v>
      </c>
      <c r="L349" s="5">
        <v>17451570.93</v>
      </c>
      <c r="M349" s="5">
        <v>16900831.199999992</v>
      </c>
      <c r="N349" s="6"/>
      <c r="O349" s="6">
        <f t="shared" si="11"/>
        <v>120939078.18999997</v>
      </c>
      <c r="P349" s="6">
        <f t="shared" si="12"/>
        <v>-120939078.18999997</v>
      </c>
    </row>
    <row r="350" spans="2:16" x14ac:dyDescent="0.35">
      <c r="B350" t="s">
        <v>184</v>
      </c>
      <c r="C350" s="2" t="s">
        <v>186</v>
      </c>
      <c r="D350">
        <v>90111101</v>
      </c>
      <c r="E350">
        <v>52121104</v>
      </c>
      <c r="G350" s="5">
        <v>0</v>
      </c>
      <c r="H350" s="5">
        <v>0</v>
      </c>
      <c r="I350" s="5">
        <v>14550</v>
      </c>
      <c r="J350" s="5">
        <v>14096582.33</v>
      </c>
      <c r="K350" s="5">
        <v>11750</v>
      </c>
      <c r="L350" s="5">
        <v>29116</v>
      </c>
      <c r="M350" s="5">
        <v>0</v>
      </c>
      <c r="N350" s="6"/>
      <c r="O350" s="6">
        <f t="shared" si="11"/>
        <v>14151998.33</v>
      </c>
      <c r="P350" s="6">
        <f t="shared" si="12"/>
        <v>-14151998.33</v>
      </c>
    </row>
    <row r="351" spans="2:16" x14ac:dyDescent="0.35">
      <c r="B351" t="s">
        <v>101</v>
      </c>
      <c r="C351" s="2" t="s">
        <v>202</v>
      </c>
      <c r="D351">
        <v>90111101</v>
      </c>
      <c r="E351">
        <v>52121106</v>
      </c>
      <c r="G351" s="5">
        <v>0</v>
      </c>
      <c r="H351" s="5">
        <v>4828922.51</v>
      </c>
      <c r="I351" s="6"/>
      <c r="J351" s="5">
        <v>0</v>
      </c>
      <c r="K351" s="5">
        <v>3551.91</v>
      </c>
      <c r="L351" s="5">
        <v>-39068.720000000001</v>
      </c>
      <c r="M351" s="5">
        <v>0</v>
      </c>
      <c r="N351" s="6"/>
      <c r="O351" s="6">
        <f t="shared" si="11"/>
        <v>4793405.7</v>
      </c>
      <c r="P351" s="6">
        <f t="shared" si="12"/>
        <v>-4793405.7</v>
      </c>
    </row>
    <row r="352" spans="2:16" x14ac:dyDescent="0.35">
      <c r="B352" t="s">
        <v>101</v>
      </c>
      <c r="C352" s="2" t="s">
        <v>188</v>
      </c>
      <c r="D352">
        <v>90111101</v>
      </c>
      <c r="E352">
        <v>52121102</v>
      </c>
      <c r="G352" s="5">
        <v>57068.439999999995</v>
      </c>
      <c r="H352" s="5">
        <v>71288.73</v>
      </c>
      <c r="I352" s="5">
        <v>73475.430000000008</v>
      </c>
      <c r="J352" s="5">
        <v>139058.74</v>
      </c>
      <c r="K352" s="5">
        <v>71173.759999999995</v>
      </c>
      <c r="L352" s="5">
        <v>83233.059999999983</v>
      </c>
      <c r="M352" s="5">
        <v>83146.570000000007</v>
      </c>
      <c r="N352" s="6"/>
      <c r="O352" s="6">
        <f t="shared" si="11"/>
        <v>578444.73</v>
      </c>
      <c r="P352" s="6">
        <f t="shared" si="12"/>
        <v>-578444.73</v>
      </c>
    </row>
    <row r="353" spans="2:16" x14ac:dyDescent="0.35">
      <c r="B353" t="s">
        <v>101</v>
      </c>
      <c r="C353" s="2" t="s">
        <v>188</v>
      </c>
      <c r="D353">
        <v>90111101</v>
      </c>
      <c r="E353">
        <v>52121103</v>
      </c>
      <c r="G353" s="5">
        <v>17200</v>
      </c>
      <c r="H353" s="5">
        <v>800</v>
      </c>
      <c r="I353" s="5">
        <v>7200</v>
      </c>
      <c r="J353" s="5">
        <v>4800</v>
      </c>
      <c r="K353" s="5">
        <v>1400</v>
      </c>
      <c r="L353" s="5">
        <v>15200</v>
      </c>
      <c r="M353" s="5">
        <v>15600</v>
      </c>
      <c r="N353" s="6"/>
      <c r="O353" s="6">
        <f t="shared" si="11"/>
        <v>62200</v>
      </c>
      <c r="P353" s="6">
        <f t="shared" si="12"/>
        <v>-62200</v>
      </c>
    </row>
    <row r="354" spans="2:16" x14ac:dyDescent="0.35">
      <c r="B354" t="s">
        <v>189</v>
      </c>
      <c r="C354" s="2" t="s">
        <v>190</v>
      </c>
      <c r="D354">
        <v>90111101</v>
      </c>
      <c r="E354">
        <v>52121305</v>
      </c>
      <c r="G354" s="5">
        <v>583390</v>
      </c>
      <c r="H354" s="5">
        <v>583940</v>
      </c>
      <c r="I354" s="5">
        <v>579820</v>
      </c>
      <c r="J354" s="5">
        <v>614220</v>
      </c>
      <c r="K354" s="5">
        <v>582630</v>
      </c>
      <c r="L354" s="5">
        <v>598350</v>
      </c>
      <c r="M354" s="5">
        <v>585290</v>
      </c>
      <c r="N354" s="6"/>
      <c r="O354" s="6">
        <f t="shared" si="11"/>
        <v>4127640</v>
      </c>
      <c r="P354" s="6">
        <f t="shared" si="12"/>
        <v>-4127640</v>
      </c>
    </row>
    <row r="355" spans="2:16" x14ac:dyDescent="0.35">
      <c r="B355" t="s">
        <v>191</v>
      </c>
      <c r="C355" s="2" t="s">
        <v>192</v>
      </c>
      <c r="D355">
        <v>90111101</v>
      </c>
      <c r="E355">
        <v>52121305</v>
      </c>
      <c r="G355" s="5">
        <v>35400</v>
      </c>
      <c r="H355" s="5">
        <v>35200</v>
      </c>
      <c r="I355" s="5">
        <v>34800</v>
      </c>
      <c r="J355" s="5">
        <v>34800</v>
      </c>
      <c r="K355" s="5">
        <v>35200</v>
      </c>
      <c r="L355" s="5">
        <v>35000</v>
      </c>
      <c r="M355" s="5">
        <v>35200</v>
      </c>
      <c r="N355" s="6"/>
      <c r="O355" s="6">
        <f t="shared" si="11"/>
        <v>245600</v>
      </c>
      <c r="P355" s="6">
        <f t="shared" si="12"/>
        <v>-245600</v>
      </c>
    </row>
    <row r="356" spans="2:16" x14ac:dyDescent="0.35">
      <c r="B356" t="s">
        <v>193</v>
      </c>
      <c r="C356" s="2" t="s">
        <v>194</v>
      </c>
      <c r="D356">
        <v>90111101</v>
      </c>
      <c r="E356">
        <v>52121305</v>
      </c>
      <c r="G356" s="5">
        <v>258472.5</v>
      </c>
      <c r="H356" s="5">
        <v>257627.5</v>
      </c>
      <c r="I356" s="5">
        <v>256090</v>
      </c>
      <c r="J356" s="5">
        <v>265360</v>
      </c>
      <c r="K356" s="5">
        <v>265870</v>
      </c>
      <c r="L356" s="5">
        <v>265417.5</v>
      </c>
      <c r="M356" s="5">
        <v>264017.5</v>
      </c>
      <c r="N356" s="6"/>
      <c r="O356" s="6">
        <f t="shared" si="11"/>
        <v>1832855</v>
      </c>
      <c r="P356" s="6">
        <f t="shared" si="12"/>
        <v>-1832855</v>
      </c>
    </row>
    <row r="357" spans="2:16" x14ac:dyDescent="0.35">
      <c r="B357" t="s">
        <v>101</v>
      </c>
      <c r="C357" s="2" t="s">
        <v>195</v>
      </c>
      <c r="D357">
        <v>90111101</v>
      </c>
      <c r="E357">
        <v>52121308</v>
      </c>
      <c r="G357" s="5">
        <v>562750</v>
      </c>
      <c r="H357" s="5">
        <v>566750</v>
      </c>
      <c r="I357" s="5">
        <v>566750</v>
      </c>
      <c r="J357" s="5">
        <v>670000</v>
      </c>
      <c r="K357" s="5">
        <v>603500</v>
      </c>
      <c r="L357" s="5">
        <v>594750</v>
      </c>
      <c r="M357" s="5">
        <v>586750</v>
      </c>
      <c r="N357" s="6"/>
      <c r="O357" s="6">
        <f t="shared" si="11"/>
        <v>4151250</v>
      </c>
      <c r="P357" s="6">
        <f t="shared" si="12"/>
        <v>-4151250</v>
      </c>
    </row>
    <row r="358" spans="2:16" x14ac:dyDescent="0.35">
      <c r="B358" t="s">
        <v>101</v>
      </c>
      <c r="C358" s="2" t="s">
        <v>196</v>
      </c>
      <c r="D358">
        <v>90111101</v>
      </c>
      <c r="E358">
        <v>52121302</v>
      </c>
      <c r="G358" s="5">
        <v>0</v>
      </c>
      <c r="H358" s="5">
        <v>0</v>
      </c>
      <c r="I358" s="6"/>
      <c r="J358" s="5">
        <v>0</v>
      </c>
      <c r="K358" s="6"/>
      <c r="L358" s="5">
        <v>0</v>
      </c>
      <c r="M358" s="5">
        <v>0</v>
      </c>
      <c r="N358" s="6"/>
      <c r="O358" s="6">
        <f t="shared" si="11"/>
        <v>0</v>
      </c>
      <c r="P358" s="6">
        <f t="shared" si="12"/>
        <v>0</v>
      </c>
    </row>
    <row r="359" spans="2:16" x14ac:dyDescent="0.35">
      <c r="B359" t="s">
        <v>101</v>
      </c>
      <c r="C359" s="2" t="s">
        <v>197</v>
      </c>
      <c r="D359">
        <v>90111101</v>
      </c>
      <c r="E359">
        <v>52121306</v>
      </c>
      <c r="G359" s="5">
        <v>152000</v>
      </c>
      <c r="H359" s="5">
        <v>0</v>
      </c>
      <c r="I359" s="5">
        <v>0</v>
      </c>
      <c r="J359" s="5">
        <v>0</v>
      </c>
      <c r="K359" s="6"/>
      <c r="L359" s="5">
        <v>716560</v>
      </c>
      <c r="M359" s="5">
        <v>0</v>
      </c>
      <c r="N359" s="6"/>
      <c r="O359" s="6">
        <f t="shared" si="11"/>
        <v>868560</v>
      </c>
      <c r="P359" s="6">
        <f t="shared" si="12"/>
        <v>-868560</v>
      </c>
    </row>
    <row r="360" spans="2:16" x14ac:dyDescent="0.35">
      <c r="B360" t="s">
        <v>101</v>
      </c>
      <c r="C360" s="2" t="s">
        <v>197</v>
      </c>
      <c r="D360">
        <v>90111101</v>
      </c>
      <c r="E360">
        <v>52121309</v>
      </c>
      <c r="G360" s="5">
        <v>38000</v>
      </c>
      <c r="H360" s="5">
        <v>0</v>
      </c>
      <c r="I360" s="5">
        <v>0</v>
      </c>
      <c r="J360" s="5">
        <v>0</v>
      </c>
      <c r="K360" s="6"/>
      <c r="L360" s="5">
        <v>0</v>
      </c>
      <c r="M360" s="5">
        <v>0</v>
      </c>
      <c r="N360" s="6"/>
      <c r="O360" s="6">
        <f t="shared" si="11"/>
        <v>38000</v>
      </c>
      <c r="P360" s="6">
        <f t="shared" si="12"/>
        <v>-38000</v>
      </c>
    </row>
    <row r="361" spans="2:16" x14ac:dyDescent="0.35">
      <c r="B361" t="s">
        <v>101</v>
      </c>
      <c r="C361" s="2" t="s">
        <v>198</v>
      </c>
      <c r="D361">
        <v>90111101</v>
      </c>
      <c r="E361">
        <v>52121301</v>
      </c>
      <c r="G361" s="5">
        <v>37546.26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6"/>
      <c r="O361" s="6">
        <f t="shared" si="11"/>
        <v>37546.26</v>
      </c>
      <c r="P361" s="6">
        <f t="shared" si="12"/>
        <v>-37546.26</v>
      </c>
    </row>
    <row r="362" spans="2:16" x14ac:dyDescent="0.35">
      <c r="B362" t="s">
        <v>101</v>
      </c>
      <c r="C362" s="2" t="s">
        <v>199</v>
      </c>
      <c r="D362">
        <v>90111101</v>
      </c>
      <c r="E362">
        <v>52121301</v>
      </c>
      <c r="G362" s="5">
        <v>0</v>
      </c>
      <c r="H362" s="5">
        <v>0</v>
      </c>
      <c r="I362" s="5">
        <v>78232.5</v>
      </c>
      <c r="J362" s="5">
        <v>29961.06</v>
      </c>
      <c r="K362" s="5">
        <v>26077.5</v>
      </c>
      <c r="L362" s="5">
        <v>26077.5</v>
      </c>
      <c r="M362" s="5">
        <v>26077.5</v>
      </c>
      <c r="N362" s="6"/>
      <c r="O362" s="6">
        <f t="shared" si="11"/>
        <v>186426.06</v>
      </c>
      <c r="P362" s="6">
        <f t="shared" si="12"/>
        <v>-186426.06</v>
      </c>
    </row>
    <row r="363" spans="2:16" x14ac:dyDescent="0.35">
      <c r="B363" t="s">
        <v>101</v>
      </c>
      <c r="C363" s="2" t="s">
        <v>200</v>
      </c>
      <c r="D363">
        <v>90111101</v>
      </c>
      <c r="E363">
        <v>52121303</v>
      </c>
      <c r="G363" s="5">
        <v>0</v>
      </c>
      <c r="H363" s="5">
        <v>0</v>
      </c>
      <c r="I363" s="5"/>
      <c r="J363" s="5">
        <v>0</v>
      </c>
      <c r="K363" s="6"/>
      <c r="L363" s="5">
        <v>0</v>
      </c>
      <c r="M363" s="5">
        <v>0</v>
      </c>
      <c r="N363" s="6"/>
      <c r="O363" s="6">
        <f t="shared" si="11"/>
        <v>0</v>
      </c>
      <c r="P363" s="6">
        <f t="shared" si="12"/>
        <v>0</v>
      </c>
    </row>
    <row r="364" spans="2:16" x14ac:dyDescent="0.35">
      <c r="B364" t="s">
        <v>101</v>
      </c>
      <c r="C364" s="2" t="s">
        <v>201</v>
      </c>
      <c r="D364">
        <v>90111101</v>
      </c>
      <c r="E364">
        <v>52121303</v>
      </c>
      <c r="G364" s="5">
        <v>860276.7</v>
      </c>
      <c r="H364" s="5">
        <v>1023819.4500000001</v>
      </c>
      <c r="I364" s="5">
        <v>-965764.41999999993</v>
      </c>
      <c r="J364" s="5">
        <v>273932.28000000014</v>
      </c>
      <c r="K364" s="5">
        <v>306110.5299999998</v>
      </c>
      <c r="L364" s="5">
        <v>2213923.08</v>
      </c>
      <c r="M364" s="5">
        <v>2849860.58</v>
      </c>
      <c r="N364" s="6"/>
      <c r="O364" s="6">
        <f t="shared" si="11"/>
        <v>6562158.2000000002</v>
      </c>
      <c r="P364" s="6">
        <f t="shared" si="12"/>
        <v>-6562158.2000000002</v>
      </c>
    </row>
    <row r="365" spans="2:16" x14ac:dyDescent="0.35">
      <c r="B365" t="s">
        <v>184</v>
      </c>
      <c r="C365" s="2" t="s">
        <v>203</v>
      </c>
      <c r="D365">
        <v>80111101</v>
      </c>
      <c r="E365">
        <v>61021201</v>
      </c>
      <c r="G365" s="5">
        <v>305871.74000000005</v>
      </c>
      <c r="H365" s="5">
        <v>390000.60000000003</v>
      </c>
      <c r="I365" s="5">
        <v>410120.24</v>
      </c>
      <c r="J365" s="5">
        <v>417061.46</v>
      </c>
      <c r="K365" s="5">
        <v>423803.51</v>
      </c>
      <c r="L365" s="5">
        <v>417320.03000000009</v>
      </c>
      <c r="M365" s="5">
        <v>403783.27</v>
      </c>
      <c r="N365" s="6"/>
      <c r="O365" s="6">
        <f t="shared" si="11"/>
        <v>2767960.85</v>
      </c>
      <c r="P365" s="6">
        <f t="shared" si="12"/>
        <v>-2767960.85</v>
      </c>
    </row>
    <row r="366" spans="2:16" x14ac:dyDescent="0.35">
      <c r="B366" t="s">
        <v>101</v>
      </c>
      <c r="C366" s="2" t="s">
        <v>204</v>
      </c>
      <c r="D366">
        <v>80111101</v>
      </c>
      <c r="E366">
        <v>61021202</v>
      </c>
      <c r="G366" s="5">
        <v>87876.9</v>
      </c>
      <c r="H366" s="5">
        <v>67623.67</v>
      </c>
      <c r="I366" s="5">
        <v>100118.54000000001</v>
      </c>
      <c r="J366" s="5">
        <v>117163.56</v>
      </c>
      <c r="K366" s="5">
        <v>89812.260000000009</v>
      </c>
      <c r="L366" s="5">
        <v>92193.159999999989</v>
      </c>
      <c r="M366" s="5">
        <v>85649.700000000012</v>
      </c>
      <c r="N366" s="6"/>
      <c r="O366" s="6">
        <f t="shared" si="11"/>
        <v>640437.79</v>
      </c>
      <c r="P366" s="6">
        <f t="shared" si="12"/>
        <v>-640437.79</v>
      </c>
    </row>
    <row r="367" spans="2:16" x14ac:dyDescent="0.35">
      <c r="B367" t="s">
        <v>101</v>
      </c>
      <c r="C367" s="2" t="s">
        <v>198</v>
      </c>
      <c r="D367">
        <v>80111101</v>
      </c>
      <c r="E367">
        <v>61021301</v>
      </c>
      <c r="G367" s="5"/>
      <c r="H367" s="5"/>
      <c r="I367" s="6"/>
      <c r="J367" s="5"/>
      <c r="K367" s="6"/>
      <c r="L367" s="5"/>
      <c r="M367" s="5"/>
      <c r="N367" s="6"/>
      <c r="O367" s="6">
        <f t="shared" si="11"/>
        <v>0</v>
      </c>
      <c r="P367" s="6">
        <f t="shared" si="12"/>
        <v>0</v>
      </c>
    </row>
    <row r="368" spans="2:16" x14ac:dyDescent="0.35">
      <c r="B368" t="s">
        <v>101</v>
      </c>
      <c r="C368" s="2" t="s">
        <v>199</v>
      </c>
      <c r="D368">
        <v>80111101</v>
      </c>
      <c r="E368">
        <v>61021301</v>
      </c>
      <c r="G368" s="5"/>
      <c r="H368" s="5"/>
      <c r="I368" s="6"/>
      <c r="J368" s="5"/>
      <c r="K368" s="6"/>
      <c r="L368" s="5"/>
      <c r="M368" s="5"/>
      <c r="N368" s="6"/>
      <c r="O368" s="6">
        <f t="shared" si="11"/>
        <v>0</v>
      </c>
      <c r="P368" s="6">
        <f t="shared" si="12"/>
        <v>0</v>
      </c>
    </row>
    <row r="369" spans="2:16" x14ac:dyDescent="0.35">
      <c r="B369" t="s">
        <v>101</v>
      </c>
      <c r="C369" s="2" t="s">
        <v>201</v>
      </c>
      <c r="D369">
        <v>80111101</v>
      </c>
      <c r="E369">
        <v>61021303</v>
      </c>
      <c r="G369" s="5"/>
      <c r="H369" s="5"/>
      <c r="I369" s="6"/>
      <c r="J369" s="5"/>
      <c r="K369" s="6"/>
      <c r="L369" s="5"/>
      <c r="M369" s="5"/>
      <c r="N369" s="6"/>
      <c r="O369" s="6">
        <f t="shared" si="11"/>
        <v>0</v>
      </c>
      <c r="P369" s="6">
        <f t="shared" si="12"/>
        <v>0</v>
      </c>
    </row>
    <row r="370" spans="2:16" x14ac:dyDescent="0.35">
      <c r="B370" t="s">
        <v>101</v>
      </c>
      <c r="C370" s="2" t="s">
        <v>201</v>
      </c>
      <c r="D370">
        <v>80111101</v>
      </c>
      <c r="E370">
        <v>61021303</v>
      </c>
      <c r="G370" s="5"/>
      <c r="H370" s="5"/>
      <c r="I370" s="6"/>
      <c r="J370" s="5"/>
      <c r="K370" s="6"/>
      <c r="L370" s="5"/>
      <c r="M370" s="5"/>
      <c r="N370" s="6"/>
      <c r="O370" s="6">
        <f t="shared" si="11"/>
        <v>0</v>
      </c>
      <c r="P370" s="6">
        <f t="shared" si="12"/>
        <v>0</v>
      </c>
    </row>
    <row r="371" spans="2:16" x14ac:dyDescent="0.35">
      <c r="B371" t="s">
        <v>101</v>
      </c>
      <c r="C371" s="2" t="s">
        <v>198</v>
      </c>
      <c r="D371">
        <v>90111101</v>
      </c>
      <c r="E371">
        <v>52121301</v>
      </c>
      <c r="G371" s="5"/>
      <c r="H371" s="5"/>
      <c r="I371" s="6"/>
      <c r="J371" s="5"/>
      <c r="K371" s="6"/>
      <c r="L371" s="5"/>
      <c r="M371" s="5"/>
      <c r="N371" s="6"/>
      <c r="O371" s="6">
        <f t="shared" si="11"/>
        <v>0</v>
      </c>
      <c r="P371" s="6">
        <f t="shared" si="12"/>
        <v>0</v>
      </c>
    </row>
    <row r="372" spans="2:16" x14ac:dyDescent="0.35">
      <c r="B372" t="s">
        <v>101</v>
      </c>
      <c r="C372" s="2" t="s">
        <v>199</v>
      </c>
      <c r="D372">
        <v>90111101</v>
      </c>
      <c r="E372">
        <v>52121301</v>
      </c>
      <c r="G372" s="5"/>
      <c r="H372" s="5"/>
      <c r="I372" s="6"/>
      <c r="J372" s="5"/>
      <c r="K372" s="6"/>
      <c r="L372" s="5"/>
      <c r="M372" s="5"/>
      <c r="N372" s="6"/>
      <c r="O372" s="6">
        <f t="shared" si="11"/>
        <v>0</v>
      </c>
      <c r="P372" s="6">
        <f t="shared" si="12"/>
        <v>0</v>
      </c>
    </row>
    <row r="373" spans="2:16" x14ac:dyDescent="0.35">
      <c r="B373" t="s">
        <v>101</v>
      </c>
      <c r="C373" s="2" t="s">
        <v>201</v>
      </c>
      <c r="D373">
        <v>90111101</v>
      </c>
      <c r="E373">
        <v>52121303</v>
      </c>
      <c r="G373" s="5"/>
      <c r="H373" s="5"/>
      <c r="I373" s="6"/>
      <c r="J373" s="5"/>
      <c r="K373" s="6"/>
      <c r="L373" s="5"/>
      <c r="M373" s="5"/>
      <c r="N373" s="6"/>
      <c r="O373" s="6">
        <f t="shared" si="11"/>
        <v>0</v>
      </c>
      <c r="P373" s="6">
        <f t="shared" si="12"/>
        <v>0</v>
      </c>
    </row>
    <row r="374" spans="2:16" x14ac:dyDescent="0.35">
      <c r="B374" t="s">
        <v>101</v>
      </c>
      <c r="C374" s="2" t="s">
        <v>201</v>
      </c>
      <c r="D374">
        <v>90111101</v>
      </c>
      <c r="E374">
        <v>52121303</v>
      </c>
      <c r="G374" s="5"/>
      <c r="H374" s="5"/>
      <c r="I374" s="6"/>
      <c r="J374" s="5"/>
      <c r="K374" s="6"/>
      <c r="L374" s="5"/>
      <c r="M374" s="5"/>
      <c r="N374" s="6"/>
      <c r="O374" s="6">
        <f t="shared" si="11"/>
        <v>0</v>
      </c>
      <c r="P374" s="6">
        <f t="shared" si="12"/>
        <v>0</v>
      </c>
    </row>
    <row r="375" spans="2:16" x14ac:dyDescent="0.35">
      <c r="B375" t="s">
        <v>184</v>
      </c>
      <c r="C375" s="2" t="s">
        <v>205</v>
      </c>
      <c r="D375">
        <v>81111101</v>
      </c>
      <c r="E375">
        <v>52041495</v>
      </c>
      <c r="G375" s="5">
        <v>540593.93999999994</v>
      </c>
      <c r="H375" s="5">
        <v>509422.96</v>
      </c>
      <c r="I375" s="5">
        <v>107926.67000000006</v>
      </c>
      <c r="J375" s="5">
        <v>575387.94000000006</v>
      </c>
      <c r="K375" s="5">
        <v>652257.68999999994</v>
      </c>
      <c r="L375" s="5">
        <v>780427.74</v>
      </c>
      <c r="M375" s="5">
        <v>-302921.68</v>
      </c>
      <c r="N375" s="6"/>
      <c r="O375" s="6">
        <f t="shared" si="11"/>
        <v>2863095.2600000002</v>
      </c>
      <c r="P375" s="6">
        <f t="shared" si="12"/>
        <v>-2863095.2600000002</v>
      </c>
    </row>
    <row r="376" spans="2:16" x14ac:dyDescent="0.35">
      <c r="B376" t="s">
        <v>184</v>
      </c>
      <c r="C376" s="2" t="s">
        <v>205</v>
      </c>
      <c r="D376">
        <v>81111101</v>
      </c>
      <c r="E376">
        <v>52041495</v>
      </c>
      <c r="G376" s="5"/>
      <c r="H376" s="5">
        <v>358611.4</v>
      </c>
      <c r="I376" s="6"/>
      <c r="J376" s="5">
        <v>0</v>
      </c>
      <c r="K376" s="6"/>
      <c r="L376" s="5">
        <v>0</v>
      </c>
      <c r="M376" s="5">
        <v>0</v>
      </c>
      <c r="N376" s="6"/>
      <c r="O376" s="6">
        <f t="shared" si="11"/>
        <v>358611.4</v>
      </c>
      <c r="P376" s="6">
        <f t="shared" si="12"/>
        <v>-358611.4</v>
      </c>
    </row>
    <row r="377" spans="2:16" x14ac:dyDescent="0.35">
      <c r="B377" t="s">
        <v>101</v>
      </c>
      <c r="C377" s="2" t="s">
        <v>206</v>
      </c>
      <c r="D377">
        <v>80111101</v>
      </c>
      <c r="E377">
        <v>61021304</v>
      </c>
      <c r="G377" s="5">
        <v>231789.67</v>
      </c>
      <c r="H377" s="5">
        <v>231789.67</v>
      </c>
      <c r="I377" s="5">
        <v>231789.67</v>
      </c>
      <c r="J377" s="5">
        <v>231789.67</v>
      </c>
      <c r="K377" s="5">
        <v>231789.67</v>
      </c>
      <c r="L377" s="5">
        <v>231789.67</v>
      </c>
      <c r="M377" s="5">
        <v>231789.67</v>
      </c>
      <c r="N377" s="6"/>
      <c r="O377" s="6">
        <f t="shared" si="11"/>
        <v>1622527.69</v>
      </c>
      <c r="P377" s="6">
        <f t="shared" si="12"/>
        <v>-1622527.69</v>
      </c>
    </row>
    <row r="378" spans="2:16" x14ac:dyDescent="0.35">
      <c r="B378" t="s">
        <v>101</v>
      </c>
      <c r="C378" s="2" t="s">
        <v>206</v>
      </c>
      <c r="D378">
        <v>81111101</v>
      </c>
      <c r="E378">
        <v>52121304</v>
      </c>
      <c r="G378" s="5">
        <v>303089.17</v>
      </c>
      <c r="H378" s="5">
        <v>303089.17</v>
      </c>
      <c r="I378" s="5">
        <v>303089.17</v>
      </c>
      <c r="J378" s="5">
        <v>303089.17</v>
      </c>
      <c r="K378" s="5">
        <v>303089.17</v>
      </c>
      <c r="L378" s="5">
        <v>303089.17</v>
      </c>
      <c r="M378" s="5">
        <v>303089.17</v>
      </c>
      <c r="N378" s="6"/>
      <c r="O378" s="6">
        <f t="shared" si="11"/>
        <v>2121624.19</v>
      </c>
      <c r="P378" s="6">
        <f t="shared" si="12"/>
        <v>-2121624.19</v>
      </c>
    </row>
    <row r="379" spans="2:16" x14ac:dyDescent="0.35">
      <c r="B379" t="s">
        <v>101</v>
      </c>
      <c r="C379" s="2" t="s">
        <v>206</v>
      </c>
      <c r="D379">
        <v>90111101</v>
      </c>
      <c r="E379">
        <v>52121304</v>
      </c>
      <c r="G379" s="5">
        <v>3234356.33</v>
      </c>
      <c r="H379" s="5">
        <v>3234356.33</v>
      </c>
      <c r="I379" s="5">
        <v>3234356.33</v>
      </c>
      <c r="J379" s="5">
        <v>4023631.0100000002</v>
      </c>
      <c r="K379" s="5">
        <v>3431675</v>
      </c>
      <c r="L379" s="5">
        <v>3431675</v>
      </c>
      <c r="M379" s="5">
        <v>3431675</v>
      </c>
      <c r="N379" s="6"/>
      <c r="O379" s="6">
        <f t="shared" si="11"/>
        <v>24021725</v>
      </c>
      <c r="P379" s="6">
        <f t="shared" si="12"/>
        <v>-24021725</v>
      </c>
    </row>
    <row r="380" spans="2:16" x14ac:dyDescent="0.35">
      <c r="B380" t="s">
        <v>207</v>
      </c>
      <c r="C380" s="2" t="s">
        <v>208</v>
      </c>
      <c r="D380">
        <v>80349101</v>
      </c>
      <c r="E380">
        <v>61959994</v>
      </c>
      <c r="G380" s="5">
        <v>0</v>
      </c>
      <c r="H380" s="5">
        <v>1490425.02</v>
      </c>
      <c r="I380" s="5">
        <v>101785.71</v>
      </c>
      <c r="J380" s="5">
        <v>401785.71</v>
      </c>
      <c r="K380" s="5">
        <v>0</v>
      </c>
      <c r="L380" s="5">
        <v>0</v>
      </c>
      <c r="M380" s="5">
        <v>641639.29</v>
      </c>
      <c r="N380" s="6"/>
      <c r="O380" s="6">
        <f t="shared" si="11"/>
        <v>2635635.73</v>
      </c>
      <c r="P380" s="6">
        <f t="shared" si="12"/>
        <v>-2635635.73</v>
      </c>
    </row>
    <row r="381" spans="2:16" x14ac:dyDescent="0.35">
      <c r="B381" t="s">
        <v>207</v>
      </c>
      <c r="C381" s="2" t="s">
        <v>209</v>
      </c>
      <c r="D381">
        <v>81349101</v>
      </c>
      <c r="E381">
        <v>52959901</v>
      </c>
      <c r="G381" s="5">
        <v>-460808.4</v>
      </c>
      <c r="H381" s="5">
        <v>0</v>
      </c>
      <c r="I381" s="5">
        <v>459022.2</v>
      </c>
      <c r="J381" s="5">
        <v>0</v>
      </c>
      <c r="K381" s="5">
        <v>0</v>
      </c>
      <c r="L381" s="5">
        <v>1606577.7</v>
      </c>
      <c r="M381" s="5">
        <v>0</v>
      </c>
      <c r="N381" s="6"/>
      <c r="O381" s="6">
        <f t="shared" si="11"/>
        <v>1604791.5</v>
      </c>
      <c r="P381" s="6">
        <f t="shared" si="12"/>
        <v>-1604791.5</v>
      </c>
    </row>
    <row r="382" spans="2:16" x14ac:dyDescent="0.35">
      <c r="B382" t="s">
        <v>207</v>
      </c>
      <c r="C382" s="2" t="s">
        <v>210</v>
      </c>
      <c r="D382" s="2">
        <v>81349101</v>
      </c>
      <c r="E382" s="2">
        <v>52959901</v>
      </c>
      <c r="F382" s="2"/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892857.14</v>
      </c>
      <c r="M382" s="5">
        <v>0</v>
      </c>
      <c r="N382" s="6"/>
      <c r="O382" s="6">
        <f t="shared" si="11"/>
        <v>892857.14</v>
      </c>
      <c r="P382" s="6">
        <f t="shared" si="12"/>
        <v>-892857.14</v>
      </c>
    </row>
    <row r="383" spans="2:16" x14ac:dyDescent="0.35">
      <c r="B383" t="s">
        <v>207</v>
      </c>
      <c r="C383" s="2" t="s">
        <v>211</v>
      </c>
      <c r="D383" s="2">
        <v>80349101</v>
      </c>
      <c r="E383" s="2">
        <v>61959994</v>
      </c>
      <c r="F383" s="2"/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6"/>
      <c r="O383" s="6">
        <f t="shared" si="11"/>
        <v>0</v>
      </c>
      <c r="P383" s="6">
        <f t="shared" si="12"/>
        <v>0</v>
      </c>
    </row>
    <row r="384" spans="2:16" x14ac:dyDescent="0.35">
      <c r="B384" t="s">
        <v>207</v>
      </c>
      <c r="C384" s="2" t="s">
        <v>212</v>
      </c>
      <c r="D384" s="2">
        <v>81349101</v>
      </c>
      <c r="E384" s="2">
        <v>52959901</v>
      </c>
      <c r="F384" s="2"/>
      <c r="G384" s="5"/>
      <c r="H384" s="5"/>
      <c r="I384" s="5"/>
      <c r="J384" s="5"/>
      <c r="K384" s="5"/>
      <c r="L384" s="5">
        <v>0</v>
      </c>
      <c r="M384" s="5">
        <v>0</v>
      </c>
      <c r="N384" s="6"/>
      <c r="O384" s="6">
        <f t="shared" si="11"/>
        <v>0</v>
      </c>
      <c r="P384" s="6">
        <f t="shared" si="12"/>
        <v>0</v>
      </c>
    </row>
    <row r="385" spans="2:16" x14ac:dyDescent="0.35">
      <c r="B385" t="s">
        <v>207</v>
      </c>
      <c r="C385" s="2" t="s">
        <v>213</v>
      </c>
      <c r="D385">
        <v>81222101</v>
      </c>
      <c r="E385">
        <v>61959994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1721333.26</v>
      </c>
      <c r="N385" s="6"/>
      <c r="O385" s="6">
        <f t="shared" si="11"/>
        <v>1721333.26</v>
      </c>
      <c r="P385" s="6">
        <f t="shared" si="12"/>
        <v>-1721333.26</v>
      </c>
    </row>
    <row r="386" spans="2:16" x14ac:dyDescent="0.35">
      <c r="B386" t="s">
        <v>207</v>
      </c>
      <c r="C386" s="2" t="s">
        <v>213</v>
      </c>
      <c r="D386">
        <v>81349101</v>
      </c>
      <c r="E386">
        <v>52959901</v>
      </c>
      <c r="G386" s="5"/>
      <c r="H386" s="5"/>
      <c r="I386" s="5"/>
      <c r="J386" s="5"/>
      <c r="K386" s="5"/>
      <c r="L386" s="5"/>
      <c r="M386" s="5">
        <v>-898918.48</v>
      </c>
      <c r="N386" s="6"/>
      <c r="O386" s="6">
        <f t="shared" si="11"/>
        <v>-898918.48</v>
      </c>
      <c r="P386" s="6">
        <f t="shared" si="12"/>
        <v>898918.48</v>
      </c>
    </row>
    <row r="387" spans="2:16" x14ac:dyDescent="0.35">
      <c r="B387" t="s">
        <v>7</v>
      </c>
      <c r="C387" s="2" t="s">
        <v>6</v>
      </c>
      <c r="D387">
        <v>80124101</v>
      </c>
      <c r="E387">
        <v>61061105</v>
      </c>
      <c r="G387" s="5">
        <v>12000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6"/>
      <c r="O387" s="6">
        <f t="shared" si="11"/>
        <v>12000</v>
      </c>
      <c r="P387" s="6">
        <f t="shared" si="12"/>
        <v>-12000</v>
      </c>
    </row>
    <row r="388" spans="2:16" x14ac:dyDescent="0.35">
      <c r="B388" t="s">
        <v>45</v>
      </c>
      <c r="C388" s="2" t="s">
        <v>45</v>
      </c>
      <c r="D388">
        <v>81124101</v>
      </c>
      <c r="E388">
        <v>52952103</v>
      </c>
      <c r="G388" s="5">
        <v>50994.16</v>
      </c>
      <c r="H388" s="5">
        <v>39684.639999999999</v>
      </c>
      <c r="I388" s="5">
        <v>19223.330000000002</v>
      </c>
      <c r="J388" s="5">
        <v>19223.330000000002</v>
      </c>
      <c r="K388" s="5">
        <v>19223.330000000002</v>
      </c>
      <c r="L388" s="5">
        <v>36187.61</v>
      </c>
      <c r="M388" s="5">
        <v>276068.56</v>
      </c>
      <c r="N388" s="6"/>
      <c r="O388" s="6">
        <f t="shared" ref="O388:O393" si="13">SUM(G388:N388)</f>
        <v>460604.96</v>
      </c>
      <c r="P388" s="6">
        <f t="shared" ref="P388:P393" si="14">F388-O388</f>
        <v>-460604.96</v>
      </c>
    </row>
    <row r="389" spans="2:16" x14ac:dyDescent="0.35">
      <c r="B389" t="s">
        <v>214</v>
      </c>
      <c r="C389" s="2" t="s">
        <v>214</v>
      </c>
      <c r="D389" s="2">
        <v>81124101</v>
      </c>
      <c r="E389" s="2">
        <v>52952103</v>
      </c>
      <c r="F389" s="2"/>
      <c r="G389" s="5"/>
      <c r="H389" s="5">
        <v>8852.61</v>
      </c>
      <c r="I389" s="5">
        <v>12201.68</v>
      </c>
      <c r="J389" s="5">
        <v>11939.24</v>
      </c>
      <c r="K389" s="5">
        <v>12573.43</v>
      </c>
      <c r="L389" s="5">
        <v>12769.73</v>
      </c>
      <c r="M389" s="5">
        <v>10948.15</v>
      </c>
      <c r="N389" s="6"/>
      <c r="O389" s="6">
        <f t="shared" si="13"/>
        <v>69284.84</v>
      </c>
      <c r="P389" s="6">
        <f t="shared" si="14"/>
        <v>-69284.84</v>
      </c>
    </row>
    <row r="390" spans="2:16" x14ac:dyDescent="0.35">
      <c r="B390" t="s">
        <v>215</v>
      </c>
      <c r="C390" s="2" t="s">
        <v>215</v>
      </c>
      <c r="D390" s="2">
        <v>80124101</v>
      </c>
      <c r="E390" s="2">
        <v>61061105</v>
      </c>
      <c r="F390" s="2"/>
      <c r="G390" s="5"/>
      <c r="H390" s="5">
        <v>62500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6"/>
      <c r="O390" s="6">
        <f t="shared" si="13"/>
        <v>62500</v>
      </c>
      <c r="P390" s="6">
        <f t="shared" si="14"/>
        <v>-62500</v>
      </c>
    </row>
    <row r="391" spans="2:16" x14ac:dyDescent="0.35">
      <c r="B391" t="s">
        <v>216</v>
      </c>
      <c r="C391" s="2" t="s">
        <v>216</v>
      </c>
      <c r="D391" s="2">
        <v>80124101</v>
      </c>
      <c r="E391" s="2">
        <v>61711102</v>
      </c>
      <c r="F391" s="2"/>
      <c r="G391" s="5"/>
      <c r="H391" s="5"/>
      <c r="I391" s="5"/>
      <c r="J391" s="5">
        <v>19975.97</v>
      </c>
      <c r="K391" s="5">
        <v>0</v>
      </c>
      <c r="L391" s="5">
        <v>0</v>
      </c>
      <c r="M391" s="5">
        <v>0</v>
      </c>
      <c r="N391" s="6"/>
      <c r="O391" s="6">
        <f t="shared" si="13"/>
        <v>19975.97</v>
      </c>
      <c r="P391" s="6">
        <f t="shared" si="14"/>
        <v>-19975.97</v>
      </c>
    </row>
    <row r="392" spans="2:16" x14ac:dyDescent="0.35">
      <c r="B392" t="s">
        <v>217</v>
      </c>
      <c r="C392" s="2" t="s">
        <v>217</v>
      </c>
      <c r="D392" s="2">
        <v>81124101</v>
      </c>
      <c r="E392" s="2">
        <v>52952103</v>
      </c>
      <c r="F392" s="2"/>
      <c r="G392" s="5"/>
      <c r="H392" s="5"/>
      <c r="I392" s="5"/>
      <c r="J392" s="5">
        <v>38839.29</v>
      </c>
      <c r="K392" s="6"/>
      <c r="L392" s="5">
        <v>0</v>
      </c>
      <c r="M392" s="5">
        <v>0</v>
      </c>
      <c r="N392" s="6"/>
      <c r="O392" s="6">
        <f t="shared" si="13"/>
        <v>38839.29</v>
      </c>
      <c r="P392" s="6">
        <f t="shared" si="14"/>
        <v>-38839.29</v>
      </c>
    </row>
    <row r="393" spans="2:16" x14ac:dyDescent="0.35">
      <c r="B393" t="s">
        <v>218</v>
      </c>
      <c r="C393" s="2" t="s">
        <v>219</v>
      </c>
      <c r="D393" s="4">
        <v>81111101</v>
      </c>
      <c r="E393" s="4">
        <v>61959202</v>
      </c>
      <c r="F393" s="4"/>
      <c r="G393" s="5"/>
      <c r="H393" s="5"/>
      <c r="I393" s="5"/>
      <c r="J393" s="5">
        <v>400499.99</v>
      </c>
      <c r="K393" s="5">
        <v>-400499.99</v>
      </c>
      <c r="L393" s="5">
        <v>0</v>
      </c>
      <c r="M393" s="5">
        <v>0</v>
      </c>
      <c r="N393" s="5"/>
      <c r="O393" s="6">
        <f t="shared" si="13"/>
        <v>0</v>
      </c>
      <c r="P393" s="6">
        <f t="shared" si="14"/>
        <v>0</v>
      </c>
    </row>
  </sheetData>
  <autoFilter ref="B2:P393" xr:uid="{38754C59-A0A8-45DC-BDCD-F22DF35019B4}"/>
  <conditionalFormatting sqref="D385:F386">
    <cfRule type="duplicateValues" dxfId="1" priority="5"/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2026-08-13T06:51:39Z</dcterms:created>
  <dcterms:modified xsi:type="dcterms:W3CDTF">2026-08-31T07:58:17Z</dcterms:modified>
</cp:coreProperties>
</file>